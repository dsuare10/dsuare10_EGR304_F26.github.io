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a1ab3c664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59bbe70afeb64a93"/>
  </x:sheets>
</x:workbook>
</file>

<file path=xl/comments1.xml><?xml version="1.0" encoding="utf-8"?>
<x:comments xmlns:x="http://schemas.openxmlformats.org/spreadsheetml/2006/main">
  <x:authors>
    <x:author/>
  </x:authors>
  <x:commentList>
    <x:comment ref="F8" authorId="0">
      <x:text>
        <x:r>
          <x:t>For inductive loads (e.g., motors, solenoids) this is often called "stall current" on the data sheet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<x:sst xmlns:x="http://schemas.openxmlformats.org/spreadsheetml/2006/main">
  <x:si>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Team Number:</x:t>
  </x:si>
  <x:si>
    <x:t xml:space="preserve">###</x:t>
  </x:si>
  <x:si>
    <x:t xml:space="preserve">Project Name:</x:t>
  </x:si>
  <x:si>
    <x:t xml:space="preserve">Team Member Names:</x:t>
  </x:si>
  <x:si>
    <x:t xml:space="preserve">Tom, Sam, John, Jane</x:t>
  </x:si>
  <x:si>
    <x:t xml:space="preserve">Version:</x:t>
  </x:si>
  <x:si>
    <x:t xml:space="preserve">##</x:t>
  </x:si>
  <x:si>
    <x:t xml:space="preserve">A. List ALL major components (active devices, integrated circuits, etc.) except for power sources, voltage regulators, resistors, capacitors, or passive elements</x:t>
  </x:si>
  <x:si>
    <x:t xml:space="preserve">All Major Components</x:t>
  </x:si>
  <x:si>
    <x:t xml:space="preserve">Component Name</x:t>
  </x:si>
  <x:si>
    <x:t xml:space="preserve">Part Number</x:t>
  </x:si>
  <x:si>
    <x:t xml:space="preserve">Supply Voltage Range</x:t>
  </x:si>
  <x:si>
    <x:t xml:space="preserve">Qty.</x:t>
  </x:si>
  <x:si>
    <x:t xml:space="preserve">Absolute Maximum Current (mA)</x:t>
  </x:si>
  <x:si>
    <x:t xml:space="preserve">Total Current
(mA)</x:t>
  </x:si>
  <x:si>
    <x:t xml:space="preserve">Unit</x:t>
  </x:si>
  <x:si>
    <x:t xml:space="preserve"> +12V Power Rail</x:t>
  </x:si>
  <x:si>
    <x:t xml:space="preserve">mA</x:t>
  </x:si>
  <x:si>
    <x:t xml:space="preserve">Subtotal </x:t>
  </x:si>
  <x:si>
    <x:t xml:space="preserve">Safety Margin</x:t>
  </x:si>
  <x:si>
    <x:t xml:space="preserve">Total Current Required on +12V Rail</x:t>
  </x:si>
  <x:si>
    <x:t xml:space="preserve"> +5V Power Rail</x:t>
  </x:si>
  <x:si>
    <x:t xml:space="preserve">Supply
Voltage
Range</x:t>
  </x:si>
  <x:si>
    <x:t xml:space="preserve">Absolute
Maximum
Current (mA)</x:t>
  </x:si>
  <x:si>
    <x:t xml:space="preserve">Total
Current
(mA)</x:t>
  </x:si>
  <x:si>
    <x:t xml:space="preserve">Total Current Required on +5V Rail</x:t>
  </x:si>
  <x:si>
    <x:t xml:space="preserve">Total Remaining Current Available on +5V Rail</x:t>
  </x:si>
  <x:si>
    <x:t xml:space="preserve">Output Voltage</x:t>
  </x:si>
  <x:si>
    <x:t xml:space="preserve">Total Remaining Current Available on External Power Source 1</x:t>
  </x:si>
  <x:si>
    <x:t xml:space="preserve">Capacity
(mAh)</x:t>
  </x:si>
  <x:si>
    <x:t xml:space="preserve">Required
By
Regulators</x:t>
  </x:si>
  <x:si>
    <x:t xml:space="preserve">Notes:</x:t>
  </x:si>
  <x:si>
    <x:t xml:space="preserve">External Supply Voltage should be determined by the dropout voltage for highest-voltage regulator (e.g., +14V for a +12V regulator).</x:t>
  </x:si>
  <x:si>
    <x:t xml:space="preserve">If you have multiple units in your design (e.g., a base unit and remote unit) then you need a separate power budget for each unit</x:t>
  </x:si>
</x:sst>
</file>

<file path=xl/styles.xml><?xml version="1.0" encoding="utf-8"?>
<x:styleSheet xmlns:x="http://schemas.openxmlformats.org/spreadsheetml/2006/main">
  <x:fonts count="6">
    <x:font>
      <x:sz val="12"/>
      <x:color rgb="FF000000"/>
      <x:name val="Calibri"/>
    </x:font>
    <x:font>
      <x:b/>
      <x:sz val="24"/>
      <x:color rgb="FF000000"/>
      <x:name val="Calibri"/>
    </x:font>
    <x:font>
      <x:sz val="12"/>
      <x:color rgb="FF000000"/>
      <x:name val="Calibri"/>
    </x:font>
    <x:font>
      <x:b/>
      <x:sz val="12"/>
      <x:color rgb="FF000000"/>
      <x:name val="Calibri"/>
    </x:font>
    <x:font>
      <x:sz val="12"/>
      <x:name val="Calibri"/>
    </x:font>
    <x:font>
      <x:b/>
      <x:i/>
      <x:sz val="12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EEECE1"/>
      </x:patternFill>
    </x:fill>
    <x:fill>
      <x:patternFill patternType="solid">
        <x:fgColor rgb="FFFFFFFF"/>
      </x:patternFill>
    </x:fill>
    <x:fill>
      <x:patternFill patternType="solid">
        <x:fgColor theme="8" tint="0.59999"/>
      </x:patternFill>
    </x:fill>
  </x:fills>
  <x:borders count="55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  <x:border/>
    <x:border>
      <x:top style="thin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right style="thin">
        <x:color indexed="64"/>
      </x:right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double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double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double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2" fillId="0" borderId="0" xfId="0" applyFont="1"/>
    <x:xf numFmtId="0" fontId="3" fillId="0" borderId="0" xfId="0" applyFont="1" applyAlignment="1">
      <x:alignment horizontal="center"/>
    </x:xf>
    <x:xf numFmtId="0" fontId="3" fillId="0" borderId="0" xfId="0" applyFont="1"/>
    <x:xf numFmtId="0" fontId="5" fillId="2" borderId="1" xfId="0" applyFont="1" applyFill="1" applyBorder="1" applyAlignment="1">
      <x:alignment wrapText="1"/>
    </x:xf>
    <x:xf numFmtId="0" fontId="2" fillId="0" borderId="2" xfId="0" applyFont="1" applyBorder="1"/>
    <x:xf numFmtId="0" fontId="2" fillId="0" borderId="0" xfId="0" applyFont="1" applyAlignment="1">
      <x:alignment horizontal="center"/>
    </x:xf>
    <x:xf numFmtId="0" fontId="3" fillId="0" borderId="2" xfId="0" applyFont="1" applyBorder="1"/>
    <x:xf numFmtId="0" fontId="5" fillId="0" borderId="2" xfId="0" applyFont="1" applyBorder="1"/>
    <x:xf numFmtId="0" fontId="5" fillId="0" borderId="2" xfId="0" applyFont="1" applyBorder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2" xfId="0" applyFont="1" applyBorder="1" applyAlignment="1">
      <x:alignment horizontal="center"/>
    </x:xf>
    <x:xf numFmtId="0" fontId="2" fillId="0" borderId="3" xfId="0" applyFont="1" applyBorder="1" applyAlignment="1">
      <x:alignment horizontal="center"/>
    </x:xf>
    <x:xf numFmtId="0" fontId="1" fillId="5" borderId="0" xfId="0" applyFont="1" applyFill="1" applyAlignment="1">
      <x:alignment horizontal="center"/>
    </x:xf>
    <x:xf numFmtId="0" fontId="2" fillId="5" borderId="0" xfId="0" applyFont="1" applyFill="1"/>
    <x:xf numFmtId="0" fontId="3" fillId="0" borderId="4" xfId="0" applyFont="1" applyBorder="1" applyAlignment="1">
      <x:alignment horizontal="right"/>
    </x:xf>
    <x:xf numFmtId="0" fontId="4" fillId="0" borderId="4" xfId="0" applyFont="1" applyBorder="1"/>
    <x:xf numFmtId="0" fontId="3" fillId="0" borderId="4" xfId="0" applyFont="1" applyBorder="1"/>
    <x:xf numFmtId="0" fontId="4" fillId="0" borderId="5" xfId="0" applyFont="1" applyBorder="1"/>
    <x:xf numFmtId="0" fontId="4" fillId="0" borderId="7" xfId="0" applyFont="1" applyBorder="1"/>
    <x:xf numFmtId="0" fontId="2" fillId="0" borderId="6" xfId="0" applyFont="1" applyBorder="1"/>
    <x:xf numFmtId="0" fontId="2" fillId="0" borderId="6" xfId="0" applyFont="1" applyBorder="1" applyAlignment="1">
      <x:alignment horizontal="center"/>
    </x:xf>
    <x:xf numFmtId="49" fontId="2" fillId="0" borderId="6" xfId="0" applyNumberFormat="1" applyFont="1" applyBorder="1" applyAlignment="1">
      <x:alignment horizontal="center"/>
    </x:xf>
    <x:xf numFmtId="0" fontId="2" fillId="0" borderId="8" xfId="0" applyFont="1" applyBorder="1"/>
    <x:xf numFmtId="0" fontId="2" fillId="0" borderId="8" xfId="0" applyFont="1" applyBorder="1" applyAlignment="1">
      <x:alignment horizontal="center"/>
    </x:xf>
    <x:xf numFmtId="0" fontId="3" fillId="3" borderId="9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 wrapText="1"/>
    </x:xf>
    <x:xf numFmtId="0" fontId="2" fillId="0" borderId="12" xfId="0" applyFont="1" applyBorder="1" applyAlignment="1">
      <x:alignment horizontal="center"/>
    </x:xf>
    <x:xf numFmtId="0" fontId="2" fillId="0" borderId="4" xfId="0" applyFont="1" applyBorder="1"/>
    <x:xf numFmtId="0" fontId="3" fillId="0" borderId="4" xfId="0" applyFont="1" applyBorder="1" applyAlignment="1">
      <x:alignment horizontal="center"/>
    </x:xf>
    <x:xf numFmtId="0" fontId="3" fillId="0" borderId="13" xfId="0" applyFont="1" applyBorder="1" applyAlignment="1">
      <x:alignment horizontal="center"/>
    </x:xf>
    <x:xf numFmtId="0" fontId="2" fillId="0" borderId="14" xfId="0" applyFont="1" applyBorder="1"/>
    <x:xf numFmtId="0" fontId="2" fillId="0" borderId="15" xfId="0" applyFont="1" applyBorder="1"/>
    <x:xf numFmtId="0" fontId="2" fillId="0" borderId="15" xfId="0" applyFont="1" applyBorder="1" applyAlignment="1">
      <x:alignment horizontal="center"/>
    </x:xf>
    <x:xf numFmtId="0" fontId="2" fillId="0" borderId="17" xfId="0" applyFont="1" applyBorder="1"/>
    <x:xf numFmtId="0" fontId="2" fillId="0" borderId="19" xfId="0" applyFont="1" applyBorder="1"/>
    <x:xf numFmtId="0" fontId="2" fillId="0" borderId="10" xfId="0" applyFont="1" applyBorder="1"/>
    <x:xf numFmtId="0" fontId="2" fillId="0" borderId="10" xfId="0" applyFon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3" fillId="3" borderId="6" xfId="0" applyFont="1" applyFill="1" applyBorder="1" applyAlignment="1">
      <x:alignment horizontal="center" vertical="center"/>
    </x:xf>
    <x:xf numFmtId="0" fontId="3" fillId="3" borderId="6" xfId="0" applyFont="1" applyFill="1" applyBorder="1" applyAlignment="1">
      <x:alignment horizontal="center" vertical="center" wrapText="1"/>
    </x:xf>
    <x:xf numFmtId="0" fontId="2" fillId="0" borderId="16" xfId="0" applyFont="1" applyBorder="1" applyAlignment="1">
      <x:alignment horizontal="center"/>
    </x:xf>
    <x:xf numFmtId="0" fontId="2" fillId="0" borderId="18" xfId="0" applyFont="1" applyBorder="1" applyAlignment="1">
      <x:alignment horizontal="center"/>
    </x:xf>
    <x:xf numFmtId="0" fontId="2" fillId="0" borderId="20" xfId="0" applyFont="1" applyBorder="1" applyAlignment="1">
      <x:alignment horizontal="center"/>
    </x:xf>
    <x:xf numFmtId="0" fontId="5" fillId="0" borderId="8" xfId="0" applyFont="1" applyBorder="1" applyAlignment="1">
      <x:alignment horizontal="right"/>
    </x:xf>
    <x:xf numFmtId="0" fontId="2" fillId="0" borderId="21" xfId="0" applyFont="1" applyBorder="1"/>
    <x:xf numFmtId="0" fontId="2" fillId="0" borderId="21" xfId="0" applyFont="1" applyBorder="1" applyAlignment="1">
      <x:alignment horizontal="center"/>
    </x:xf>
    <x:xf numFmtId="0" fontId="5" fillId="0" borderId="21" xfId="0" applyFont="1" applyBorder="1" applyAlignment="1">
      <x:alignment horizontal="right"/>
    </x:xf>
    <x:xf numFmtId="9" fontId="2" fillId="0" borderId="21" xfId="0" applyNumberFormat="1" applyFont="1" applyBorder="1" applyAlignment="1">
      <x:alignment horizontal="center"/>
    </x:xf>
    <x:xf numFmtId="0" fontId="2" fillId="0" borderId="4" xfId="0" applyFont="1" applyBorder="1" applyAlignment="1">
      <x:alignment horizontal="left"/>
    </x:xf>
    <x:xf numFmtId="0" fontId="2" fillId="0" borderId="4" xfId="0" applyFont="1" applyBorder="1" applyAlignment="1">
      <x:alignment horizontal="center"/>
    </x:xf>
    <x:xf numFmtId="0" fontId="5" fillId="0" borderId="4" xfId="0" applyFont="1" applyBorder="1" applyAlignment="1">
      <x:alignment horizontal="left"/>
    </x:xf>
    <x:xf numFmtId="49" fontId="5" fillId="0" borderId="4" xfId="0" applyNumberFormat="1" applyFont="1" applyBorder="1" applyAlignment="1">
      <x:alignment horizontal="right"/>
    </x:xf>
    <x:xf numFmtId="0" fontId="2" fillId="0" borderId="6" xfId="0" applyFont="1" applyBorder="1" applyAlignment="1">
      <x:alignment horizontal="left"/>
    </x:xf>
    <x:xf numFmtId="49" fontId="5" fillId="0" borderId="8" xfId="0" applyNumberFormat="1" applyFont="1" applyBorder="1" applyAlignment="1">
      <x:alignment horizontal="right"/>
    </x:xf>
    <x:xf numFmtId="0" fontId="4" fillId="0" borderId="8" xfId="0" applyFont="1" applyBorder="1"/>
    <x:xf numFmtId="0" fontId="5" fillId="0" borderId="21" xfId="0" applyFont="1" applyBorder="1" applyAlignment="1">
      <x:alignment horizontal="left" wrapText="1"/>
    </x:xf>
    <x:xf numFmtId="0" fontId="2" fillId="0" borderId="21" xfId="0" applyFont="1" applyBorder="1" applyAlignment="1">
      <x:alignment horizontal="left"/>
    </x:xf>
    <x:xf numFmtId="0" fontId="5" fillId="0" borderId="21" xfId="0" applyFont="1" applyBorder="1" applyAlignment="1">
      <x:alignment horizontal="left"/>
    </x:xf>
    <x:xf numFmtId="0" fontId="5" fillId="3" borderId="10" xfId="0" applyFont="1" applyFill="1" applyBorder="1" applyAlignment="1">
      <x:alignment vertical="center"/>
    </x:xf>
    <x:xf numFmtId="0" fontId="2" fillId="0" borderId="8" xfId="0" applyFont="1" applyBorder="1" applyAlignment="1">
      <x:alignment horizontal="left"/>
    </x:xf>
    <x:xf numFmtId="0" fontId="5" fillId="3" borderId="9" xfId="0" applyFont="1" applyFill="1" applyBorder="1" applyAlignment="1">
      <x:alignment vertical="center"/>
    </x:xf>
    <x:xf numFmtId="0" fontId="5" fillId="3" borderId="23" xfId="0" applyFont="1" applyFill="1" applyBorder="1" applyAlignment="1">
      <x:alignment vertical="center"/>
    </x:xf>
    <x:xf numFmtId="0" fontId="3" fillId="3" borderId="24" xfId="0" applyFont="1" applyFill="1" applyBorder="1" applyAlignment="1">
      <x:alignment horizontal="center" vertical="center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25" xfId="0" applyFont="1" applyFill="1" applyBorder="1" applyAlignment="1">
      <x:alignment horizontal="center" vertical="center"/>
    </x:xf>
    <x:xf numFmtId="0" fontId="3" fillId="0" borderId="26" xfId="0" applyFont="1" applyBorder="1" applyAlignment="1">
      <x:alignment horizontal="left"/>
    </x:xf>
    <x:xf numFmtId="0" fontId="2" fillId="0" borderId="27" xfId="0" applyFont="1" applyBorder="1" applyAlignment="1">
      <x:alignment horizontal="center"/>
    </x:xf>
    <x:xf numFmtId="0" fontId="3" fillId="0" borderId="17" xfId="0" applyFont="1" applyBorder="1" applyAlignment="1">
      <x:alignment horizontal="center"/>
    </x:xf>
    <x:xf numFmtId="0" fontId="3" fillId="0" borderId="17" xfId="0" applyFont="1" applyBorder="1" applyAlignment="1">
      <x:alignment horizontal="left" vertical="center" wrapText="1"/>
    </x:xf>
    <x:xf numFmtId="0" fontId="4" fillId="0" borderId="17" xfId="0" applyFont="1" applyBorder="1"/>
    <x:xf numFmtId="0" fontId="4" fillId="0" borderId="28" xfId="0" applyFont="1" applyBorder="1"/>
    <x:xf numFmtId="0" fontId="2" fillId="0" borderId="29" xfId="0" applyFont="1" applyBorder="1" applyAlignment="1">
      <x:alignment horizontal="center"/>
    </x:xf>
    <x:xf numFmtId="49" fontId="5" fillId="0" borderId="30" xfId="0" applyNumberFormat="1" applyFont="1" applyBorder="1" applyAlignment="1">
      <x:alignment horizontal="right"/>
    </x:xf>
    <x:xf numFmtId="49" fontId="5" fillId="0" borderId="31" xfId="0" applyNumberFormat="1" applyFont="1" applyBorder="1" applyAlignment="1">
      <x:alignment horizontal="right"/>
    </x:xf>
    <x:xf numFmtId="49" fontId="5" fillId="0" borderId="32" xfId="0" applyNumberFormat="1" applyFont="1" applyBorder="1" applyAlignment="1">
      <x:alignment horizontal="right"/>
    </x:xf>
    <x:xf numFmtId="0" fontId="2" fillId="0" borderId="33" xfId="0" applyFont="1" applyBorder="1" applyAlignment="1">
      <x:alignment horizontal="center"/>
    </x:xf>
    <x:xf numFmtId="0" fontId="2" fillId="0" borderId="34" xfId="0" applyFont="1" applyBorder="1" applyAlignment="1">
      <x:alignment horizontal="center"/>
    </x:xf>
    <x:xf numFmtId="0" fontId="2" fillId="0" borderId="4" xfId="0" applyFont="1" applyBorder="1"/>
    <x:xf numFmtId="0" fontId="5" fillId="0" borderId="35" xfId="0" applyFont="1" applyBorder="1" applyAlignment="1">
      <x:alignment horizontal="right"/>
    </x:xf>
    <x:xf numFmtId="0" fontId="5" fillId="0" borderId="36" xfId="0" applyFont="1" applyBorder="1" applyAlignment="1">
      <x:alignment horizontal="right"/>
    </x:xf>
    <x:xf numFmtId="0" fontId="5" fillId="0" borderId="37" xfId="0" applyFont="1" applyBorder="1" applyAlignment="1">
      <x:alignment horizontal="right"/>
    </x:xf>
    <x:xf numFmtId="0" fontId="5" fillId="0" borderId="38" xfId="0" applyFont="1" applyBorder="1" applyAlignment="1">
      <x:alignment horizontal="right"/>
    </x:xf>
    <x:xf numFmtId="0" fontId="5" fillId="0" borderId="39" xfId="0" applyFont="1" applyBorder="1" applyAlignment="1">
      <x:alignment horizontal="right"/>
    </x:xf>
    <x:xf numFmtId="0" fontId="5" fillId="0" borderId="40" xfId="0" applyFont="1" applyBorder="1" applyAlignment="1">
      <x:alignment horizontal="right"/>
    </x:xf>
    <x:xf numFmtId="0" fontId="2" fillId="0" borderId="13" xfId="0" applyFont="1" applyBorder="1"/>
    <x:xf numFmtId="0" fontId="2" fillId="0" borderId="41" xfId="0" applyFont="1" applyBorder="1"/>
    <x:xf numFmtId="0" fontId="2" fillId="0" borderId="22" xfId="0" applyFont="1" applyBorder="1"/>
    <x:xf numFmtId="0" fontId="5" fillId="0" borderId="4" xfId="0" applyFont="1" applyBorder="1" applyAlignment="1">
      <x:alignment horizontal="left" vertical="center"/>
    </x:xf>
    <x:xf numFmtId="49" fontId="5" fillId="0" borderId="4" xfId="0" applyNumberFormat="1" applyFont="1" applyBorder="1" applyAlignment="1">
      <x:alignment horizontal="right" vertical="center"/>
    </x:xf>
    <x:xf numFmtId="0" fontId="4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center" vertical="center"/>
    </x:xf>
    <x:xf numFmtId="49" fontId="5" fillId="0" borderId="42" xfId="0" applyNumberFormat="1" applyFont="1" applyBorder="1" applyAlignment="1">
      <x:alignment horizontal="right"/>
    </x:xf>
    <x:xf numFmtId="49" fontId="5" fillId="0" borderId="13" xfId="0" applyNumberFormat="1" applyFont="1" applyBorder="1" applyAlignment="1">
      <x:alignment horizontal="right"/>
    </x:xf>
    <x:xf numFmtId="49" fontId="5" fillId="0" borderId="43" xfId="0" applyNumberFormat="1" applyFont="1" applyBorder="1" applyAlignment="1">
      <x:alignment horizontal="right"/>
    </x:xf>
    <x:xf numFmtId="0" fontId="2" fillId="0" borderId="11" xfId="0" applyFont="1" applyBorder="1" applyAlignment="1">
      <x:alignment horizontal="center"/>
    </x:xf>
    <x:xf numFmtId="0" fontId="5" fillId="0" borderId="4" xfId="0" applyFont="1" applyBorder="1" applyAlignment="1">
      <x:alignment horizontal="center"/>
    </x:xf>
    <x:xf numFmtId="0" fontId="5" fillId="0" borderId="44" xfId="0" applyFont="1" applyBorder="1" applyAlignment="1">
      <x:alignment horizontal="center"/>
    </x:xf>
    <x:xf numFmtId="0" fontId="3" fillId="0" borderId="45" xfId="0" applyFont="1" applyBorder="1" applyAlignment="1">
      <x:alignment horizontal="center"/>
    </x:xf>
    <x:xf numFmtId="0" fontId="3" fillId="0" borderId="30" xfId="0" applyFont="1" applyBorder="1" applyAlignment="1">
      <x:alignment horizontal="center"/>
    </x:xf>
    <x:xf numFmtId="49" fontId="5" fillId="0" borderId="46" xfId="0" applyNumberFormat="1" applyFont="1" applyBorder="1" applyAlignment="1">
      <x:alignment horizontal="right"/>
    </x:xf>
    <x:xf numFmtId="0" fontId="2" fillId="0" borderId="47" xfId="0" applyFont="1" applyBorder="1"/>
    <x:xf numFmtId="0" fontId="5" fillId="2" borderId="48" xfId="0" applyFont="1" applyFill="1" applyBorder="1"/>
    <x:xf numFmtId="0" fontId="2" fillId="0" borderId="45" xfId="0" applyFont="1" applyBorder="1"/>
    <x:xf numFmtId="0" fontId="2" fillId="2" borderId="45" xfId="0" applyFont="1" applyFill="1" applyBorder="1" applyAlignment="1">
      <x:alignment horizontal="center"/>
    </x:xf>
    <x:xf numFmtId="0" fontId="2" fillId="2" borderId="49" xfId="0" applyFont="1" applyFill="1" applyBorder="1" applyAlignment="1">
      <x:alignment horizontal="center"/>
    </x:xf>
    <x:xf numFmtId="0" fontId="2" fillId="0" borderId="50" xfId="0" applyFont="1" applyBorder="1" applyAlignment="1">
      <x:alignment wrapText="1"/>
    </x:xf>
    <x:xf numFmtId="0" fontId="2" fillId="0" borderId="51" xfId="0" applyFont="1" applyBorder="1"/>
    <x:xf numFmtId="0" fontId="2" fillId="4" borderId="30" xfId="0" applyFont="1" applyFill="1" applyBorder="1" applyAlignment="1">
      <x:alignment horizontal="left" wrapText="1"/>
    </x:xf>
    <x:xf numFmtId="0" fontId="2" fillId="0" borderId="31" xfId="0" applyFont="1" applyBorder="1"/>
    <x:xf numFmtId="0" fontId="2" fillId="0" borderId="52" xfId="0" applyFont="1" applyBorder="1"/>
    <x:xf numFmtId="0" fontId="5" fillId="2" borderId="14" xfId="0" applyFont="1" applyFill="1" applyBorder="1" applyAlignment="1">
      <x:alignment wrapText="1"/>
    </x:xf>
    <x:xf numFmtId="0" fontId="4" fillId="0" borderId="15" xfId="0" applyFont="1" applyBorder="1"/>
    <x:xf numFmtId="0" fontId="5" fillId="2" borderId="15" xfId="0" applyFont="1" applyFill="1" applyBorder="1" applyAlignment="1">
      <x:alignment horizontal="center"/>
    </x:xf>
    <x:xf numFmtId="0" fontId="5" fillId="2" borderId="16" xfId="0" applyFont="1" applyFill="1" applyBorder="1" applyAlignment="1">
      <x:alignment horizontal="center"/>
    </x:xf>
    <x:xf numFmtId="0" fontId="2" fillId="0" borderId="28" xfId="0" applyFont="1" applyBorder="1"/>
    <x:xf numFmtId="0" fontId="2" fillId="0" borderId="30" xfId="0" applyFont="1" applyBorder="1"/>
    <x:xf numFmtId="0" fontId="2" fillId="0" borderId="31" xfId="0" applyFont="1" applyBorder="1"/>
    <x:xf numFmtId="0" fontId="2" fillId="0" borderId="31" xfId="0" applyFont="1" applyBorder="1" applyAlignment="1">
      <x:alignment horizontal="center"/>
    </x:xf>
    <x:xf numFmtId="0" fontId="5" fillId="0" borderId="31" xfId="0" applyFont="1" applyBorder="1" applyAlignment="1">
      <x:alignment horizontal="center"/>
    </x:xf>
    <x:xf numFmtId="0" fontId="2" fillId="0" borderId="53" xfId="0" applyFont="1" applyBorder="1" applyAlignment="1">
      <x:alignment horizontal="center"/>
    </x:xf>
    <x:xf numFmtId="0" fontId="2" fillId="0" borderId="54" xfId="0" applyFont="1" applyBorder="1" applyAlignment="1">
      <x:alignment horizontal="center"/>
    </x:xf>
    <x:xf numFmtId="0" fontId="3" fillId="3" borderId="17" xfId="0" applyFont="1" applyFill="1" applyBorder="1" applyAlignment="1">
      <x:alignment vertical="center"/>
    </x:xf>
    <x:xf numFmtId="0" fontId="3" fillId="3" borderId="6" xfId="0" applyFont="1" applyFill="1" applyBorder="1" applyAlignment="1">
      <x:alignment vertical="center"/>
    </x:xf>
    <x:xf numFmtId="0" fontId="3" fillId="3" borderId="18" xfId="0" applyFont="1" applyFill="1" applyBorder="1" applyAlignment="1">
      <x:alignment horizontal="center" vertical="center"/>
    </x:xf>
    <x:xf numFmtId="0" fontId="5" fillId="0" borderId="4" xfId="0" applyFont="1" applyBorder="1" applyAlignment="1">
      <x:alignment wrapText="1"/>
    </x:xf>
    <x:xf numFmtId="0" fontId="5" fillId="0" borderId="4" xfId="0" applyFont="1" applyBorder="1" applyAlignment="1">
      <x:alignment horizontal="center" wrapText="1"/>
    </x:xf>
    <x:xf numFmtId="0" fontId="2" fillId="0" borderId="21" xfId="0" applyFont="1" applyBorder="1" applyAlignment="1">
      <x:alignment vertical="center" wrapText="1"/>
    </x:xf>
    <x:xf numFmtId="0" fontId="2" fillId="0" borderId="21" xfId="0" applyFont="1" applyBorder="1" applyAlignment="1">
      <x:alignment vertical="center"/>
    </x:xf>
    <x:xf numFmtId="0" fontId="2" fillId="0" borderId="21" xfId="0" applyFont="1" applyBorder="1" applyAlignment="1">
      <x:alignment horizontal="center" vertical="center"/>
    </x:xf>
    <x:xf numFmtId="0" fontId="2" fillId="0" borderId="29" xfId="0" applyFont="1" applyBorder="1" applyAlignment="1">
      <x:alignment horizontal="center" vertical="center"/>
    </x:xf>
    <x:xf numFmtId="0" fontId="5" fillId="0" borderId="21" xfId="0" applyFont="1" applyBorder="1" applyAlignment="1">
      <x:alignment horizontal="left" vertical="center"/>
    </x:xf>
  </x:cellXfs>
  <x:cellStyles count="1">
    <x:cellStyle name="Normal" xfId="0"/>
  </x:cellStyles>
  <x:dxfs count="1">
    <x:dxf>
      <x:font>
        <x:color rgb="FF0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a5102d1814b71" /><Relationship Type="http://schemas.openxmlformats.org/officeDocument/2006/relationships/theme" Target="/xl/theme/theme1.xml" Id="R436bee9156da428a" /><Relationship Type="http://schemas.openxmlformats.org/officeDocument/2006/relationships/sharedStrings" Target="/xl/sharedStrings.xml" Id="R261d77c8349e4a55" /><Relationship Type="http://schemas.openxmlformats.org/officeDocument/2006/relationships/worksheet" Target="/xl/worksheets/sheet1.xml" Id="R59bbe70afeb64a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f870ff4912a44a4" /><Relationship Type="http://schemas.openxmlformats.org/officeDocument/2006/relationships/vmlDrawing" Target="/xl/drawings/vmldrawing.vml" Id="R28d852650da948f8" /></Relationships>
</file>

<file path=xl/worksheets/sheet1.xml><?xml version="1.0" encoding="utf-8"?>
<x:worksheet xmlns:x="http://schemas.openxmlformats.org/spreadsheetml/2006/main">
  <x:sheetFormatPr defaultColWidth="13.5" defaultRowHeight="15.75"/>
  <x:cols>
    <x:col min="1" max="1" width="22.5" style="1" customWidth="1"/>
    <x:col min="2" max="2" width="20.125" style="1" customWidth="1"/>
    <x:col min="3" max="3" width="15.75" style="1" customWidth="1"/>
    <x:col min="4" max="4" width="11.5" style="1" customWidth="1"/>
    <x:col min="5" max="5" width="7.25" style="1" customWidth="1"/>
    <x:col min="6" max="6" width="12.375" style="6" customWidth="1"/>
    <x:col min="7" max="7" width="11.375" style="6" customWidth="1"/>
    <x:col min="8" max="8" width="9" style="6" customWidth="1"/>
    <x:col min="9" max="16384" width="13.5" style="1" customWidth="0"/>
  </x:cols>
  <x:sheetData>
    <x:row r="1" ht="30" customHeight="1">
      <x:c r="A1" s="13" t="str">
        <x:v>Power Budget</x:v>
      </x:c>
      <x:c r="B1" s="14"/>
      <x:c r="C1" s="14"/>
      <x:c r="D1" s="14"/>
      <x:c r="E1" s="14"/>
      <x:c r="F1" s="14"/>
      <x:c r="G1" s="14"/>
      <x:c r="H1" s="14"/>
    </x:row>
    <x:row r="2" ht="15" customHeight="1">
      <x:c r="A2" s="15" t="s">
        <x:v>0</x:v>
      </x:c>
      <x:c r="B2" s="16" t="s">
        <x:v>1</x:v>
      </x:c>
      <x:c r="D2" s="2"/>
      <x:c r="E2" s="2"/>
    </x:row>
    <x:row r="3" ht="15" customHeight="1">
      <x:c r="A3" s="15" t="s">
        <x:v>2</x:v>
      </x:c>
      <x:c r="B3" s="17" t="str">
        <x:v>Automated Laundry Folding Robot</x:v>
      </x:c>
      <x:c r="C3" s="3"/>
      <x:c r="D3" s="2"/>
      <x:c r="E3" s="2"/>
      <x:c r="F3" s="2"/>
      <x:c r="G3" s="2"/>
      <x:c r="H3" s="2"/>
    </x:row>
    <x:row r="4" ht="15" customHeight="1">
      <x:c r="A4" s="15" t="s">
        <x:v>3</x:v>
      </x:c>
      <x:c r="B4" s="17" t="s">
        <x:v>4</x:v>
      </x:c>
      <x:c r="C4" s="3"/>
      <x:c r="D4" s="2"/>
      <x:c r="E4" s="2"/>
      <x:c r="F4" s="2"/>
      <x:c r="G4" s="2"/>
      <x:c r="H4" s="2"/>
    </x:row>
    <x:row r="5" ht="15" customHeight="1">
      <x:c r="A5" s="15" t="s">
        <x:v>5</x:v>
      </x:c>
      <x:c r="B5" s="17" t="s">
        <x:v>6</x:v>
      </x:c>
      <x:c r="C5" s="3"/>
      <x:c r="D5" s="2"/>
      <x:c r="E5" s="2"/>
      <x:c r="F5" s="2"/>
      <x:c r="G5" s="2"/>
      <x:c r="H5" s="2"/>
    </x:row>
    <x:row r="6" ht="15" customHeight="1">
      <x:c r="A6" s="3"/>
      <x:c r="B6" s="3"/>
      <x:c r="C6" s="3"/>
      <x:c r="D6" s="2"/>
      <x:c r="E6" s="2"/>
      <x:c r="F6" s="2"/>
      <x:c r="G6" s="2"/>
      <x:c r="H6" s="2"/>
    </x:row>
    <x:row r="7" ht="15" hidden="1" customHeight="1">
      <x:c r="A7" s="4" t="s">
        <x:v>7</x:v>
      </x:c>
      <x:c r="B7" s="18"/>
      <x:c r="C7" s="18"/>
      <x:c r="D7" s="18"/>
      <x:c r="E7" s="18"/>
      <x:c r="F7" s="18"/>
      <x:c r="G7" s="18"/>
      <x:c r="H7" s="19"/>
    </x:row>
    <x:row r="8" ht="48">
      <x:c r="A8" s="25" t="s">
        <x:v>8</x:v>
      </x:c>
      <x:c r="B8" s="26" t="s">
        <x:v>9</x:v>
      </x:c>
      <x:c r="C8" s="26" t="s">
        <x:v>10</x:v>
      </x:c>
      <x:c r="D8" s="27" t="s">
        <x:v>11</x:v>
      </x:c>
      <x:c r="E8" s="26" t="s">
        <x:v>12</x:v>
      </x:c>
      <x:c r="F8" s="27" t="s">
        <x:v>13</x:v>
      </x:c>
      <x:c r="G8" s="27" t="s">
        <x:v>14</x:v>
      </x:c>
      <x:c r="H8" s="26" t="s">
        <x:v>15</x:v>
      </x:c>
    </x:row>
    <x:row r="9" ht="15" customHeight="1">
      <x:c r="A9" s="5"/>
      <x:c r="B9" s="32" t="str">
        <x:v>DC Gearmotor</x:v>
      </x:c>
      <x:c r="C9" s="33" t="str">
        <x:v>FIT0186</x:v>
      </x:c>
      <x:c r="D9" s="34" t="str">
        <x:v>12 V</x:v>
      </x:c>
      <x:c r="E9" s="34" t="n">
        <x:v>1</x:v>
      </x:c>
      <x:c r="F9" s="34" t="n">
        <x:v>7000</x:v>
      </x:c>
      <x:c r="G9" s="34" t="n">
        <x:f t="shared" ref="G9:G13" si="0">E9*F9</x:f>
        <x:v>7000</x:v>
      </x:c>
      <x:c r="H9" s="42" t="str">
        <x:v>mA</x:v>
      </x:c>
    </x:row>
    <x:row r="10" ht="15" customHeight="1">
      <x:c r="A10" s="5"/>
      <x:c r="B10" s="35" t="str">
        <x:v>H-Bridge Motor Driver</x:v>
      </x:c>
      <x:c r="C10" s="20" t="str">
        <x:v>DRV8876PWPR</x:v>
      </x:c>
      <x:c r="D10" s="21" t="str">
        <x:v>4.5-37 V</x:v>
      </x:c>
      <x:c r="E10" s="21" t="n">
        <x:v>1</x:v>
      </x:c>
      <x:c r="F10" s="21" t="n">
        <x:v>7</x:v>
      </x:c>
      <x:c r="G10" s="21" t="n">
        <x:f t="shared" si="0">E10*F10</x:f>
        <x:v>7</x:v>
      </x:c>
      <x:c r="H10" s="43" t="str">
        <x:v>mA</x:v>
      </x:c>
    </x:row>
    <x:row r="11" ht="15" customHeight="1">
      <x:c r="A11" s="5"/>
      <x:c r="B11" s="35" t="str">
        <x:v>PIC18F57Q43 Curiosity Nano</x:v>
      </x:c>
      <x:c r="C11" s="20" t="str">
        <x:v>DM164150</x:v>
      </x:c>
      <x:c r="D11" s="21" t="str">
        <x:v>1.8-5.5 V</x:v>
      </x:c>
      <x:c r="E11" s="21" t="n">
        <x:v>1</x:v>
      </x:c>
      <x:c r="F11" s="21" t="n">
        <x:v>100</x:v>
      </x:c>
      <x:c r="G11" s="21" t="n">
        <x:f t="shared" si="0">E11*F11</x:f>
        <x:v>100</x:v>
      </x:c>
      <x:c r="H11" s="43" t="str">
        <x:v>mA</x:v>
      </x:c>
    </x:row>
    <x:row r="12" ht="15" customHeight="1">
      <x:c r="A12" s="5"/>
      <x:c r="B12" s="35" t="str">
        <x:v>Quad Op-Amp</x:v>
      </x:c>
      <x:c r="C12" s="20" t="str">
        <x:v>MCP6004-I/P</x:v>
      </x:c>
      <x:c r="D12" s="22" t="str">
        <x:v>1.8-6 V</x:v>
      </x:c>
      <x:c r="E12" s="21" t="n">
        <x:v>1</x:v>
      </x:c>
      <x:c r="F12" s="21" t="n">
        <x:v>0.68</x:v>
      </x:c>
      <x:c r="G12" s="21" t="n">
        <x:f t="shared" si="0">E12*F12</x:f>
        <x:v>0.68</x:v>
      </x:c>
      <x:c r="H12" s="43" t="str">
        <x:v>mA</x:v>
      </x:c>
    </x:row>
    <x:row r="13" ht="15" customHeight="1">
      <x:c r="A13" s="5"/>
      <x:c r="B13" s="35" t="str">
        <x:v>Reflective IR Sensor</x:v>
      </x:c>
      <x:c r="C13" s="20" t="str">
        <x:v>OPB732</x:v>
      </x:c>
      <x:c r="D13" s="21" t="str">
        <x:v>5 V emitter circuit</x:v>
      </x:c>
      <x:c r="E13" s="21" t="n">
        <x:v>1</x:v>
      </x:c>
      <x:c r="F13" s="21" t="n">
        <x:v>50</x:v>
      </x:c>
      <x:c r="G13" s="21" t="n">
        <x:f t="shared" si="0">E13*F13</x:f>
        <x:v>50</x:v>
      </x:c>
      <x:c r="H13" s="43" t="str">
        <x:v>mA</x:v>
      </x:c>
    </x:row>
    <x:row r="14" ht="15" customHeight="1">
      <x:c r="A14" s="5"/>
      <x:c r="B14" s="36" t="str">
        <x:v>Motor Hall Encoder</x:v>
      </x:c>
      <x:c r="C14" s="37" t="str">
        <x:v>Integrated in FIT0186</x:v>
      </x:c>
      <x:c r="D14" s="38" t="str">
        <x:v>5 V</x:v>
      </x:c>
      <x:c r="E14" s="38" t="n">
        <x:v>1</x:v>
      </x:c>
      <x:c r="F14" s="38" t="n">
        <x:v>20</x:v>
      </x:c>
      <x:c r="G14" s="38" t="n">
        <x:f>E14*F14</x:f>
        <x:v>20</x:v>
      </x:c>
      <x:c r="H14" s="44" t="str">
        <x:v>mA</x:v>
      </x:c>
    </x:row>
    <x:row r="15" ht="15" customHeight="1">
      <x:c r="A15" s="7"/>
      <x:c r="B15" s="17"/>
      <x:c r="C15" s="17"/>
      <x:c r="D15" s="30"/>
      <x:c r="E15" s="30"/>
      <x:c r="F15" s="30"/>
      <x:c r="G15" s="31"/>
      <x:c r="H15" s="31"/>
    </x:row>
    <x:row r="16" ht="48">
      <x:c r="A16" s="62" t="s">
        <x:v>16</x:v>
      </x:c>
      <x:c r="B16" s="26" t="s">
        <x:v>9</x:v>
      </x:c>
      <x:c r="C16" s="26" t="s">
        <x:v>10</x:v>
      </x:c>
      <x:c r="D16" s="27" t="s">
        <x:v>11</x:v>
      </x:c>
      <x:c r="E16" s="26" t="s">
        <x:v>12</x:v>
      </x:c>
      <x:c r="F16" s="27" t="s">
        <x:v>13</x:v>
      </x:c>
      <x:c r="G16" s="27" t="s">
        <x:v>14</x:v>
      </x:c>
      <x:c r="H16" s="26" t="s">
        <x:v>15</x:v>
      </x:c>
    </x:row>
    <x:row r="17" ht="15" customHeight="1">
      <x:c r="A17" s="5"/>
      <x:c r="B17" s="23" t="str">
        <x:v>DC Gearmotor</x:v>
      </x:c>
      <x:c r="C17" s="23" t="str">
        <x:v>FIT0186</x:v>
      </x:c>
      <x:c r="D17" s="24" t="str">
        <x:v>12 V</x:v>
      </x:c>
      <x:c r="E17" s="24" t="n">
        <x:v>1</x:v>
      </x:c>
      <x:c r="F17" s="24" t="n">
        <x:v>7000</x:v>
      </x:c>
      <x:c r="G17" s="24" t="n">
        <x:f t="shared" ref="G17:G19" si="1">E17*F17</x:f>
        <x:v>7000</x:v>
      </x:c>
      <x:c r="H17" s="24" t="s">
        <x:v>17</x:v>
      </x:c>
    </x:row>
    <x:row r="18" ht="15" customHeight="1">
      <x:c r="A18" s="5"/>
      <x:c r="B18" s="20" t="str">
        <x:v>H-Bridge Motor Driver</x:v>
      </x:c>
      <x:c r="C18" s="20" t="str">
        <x:v>DRV8876PWPR</x:v>
      </x:c>
      <x:c r="D18" s="21" t="str">
        <x:v>4.5-37 V</x:v>
      </x:c>
      <x:c r="E18" s="21" t="n">
        <x:v>1</x:v>
      </x:c>
      <x:c r="F18" s="21" t="n">
        <x:v>7</x:v>
      </x:c>
      <x:c r="G18" s="21" t="n">
        <x:f t="shared" si="1">E18*F18</x:f>
        <x:v>7</x:v>
      </x:c>
      <x:c r="H18" s="21" t="s">
        <x:v>17</x:v>
      </x:c>
    </x:row>
    <x:row r="19" ht="15" customHeight="1">
      <x:c r="A19" s="5"/>
      <x:c r="B19" s="46"/>
      <x:c r="C19" s="46"/>
      <x:c r="D19" s="47"/>
      <x:c r="E19" s="47"/>
      <x:c r="F19" s="47"/>
      <x:c r="G19" s="47" t="n">
        <x:f t="shared" si="1">E19*F19</x:f>
        <x:v>0</x:v>
      </x:c>
      <x:c r="H19" s="47" t="s">
        <x:v>17</x:v>
      </x:c>
    </x:row>
    <x:row r="20" ht="15" customHeight="1">
      <x:c r="A20" s="5"/>
      <x:c r="B20" s="29"/>
      <x:c r="C20" s="29"/>
      <x:c r="D20" s="45" t="s">
        <x:v>18</x:v>
      </x:c>
      <x:c r="E20" s="45"/>
      <x:c r="F20" s="45"/>
      <x:c r="G20" s="24" t="n">
        <x:f>SUM(G17:G19)</x:f>
        <x:v>7007</x:v>
      </x:c>
      <x:c r="H20" s="24" t="s">
        <x:v>17</x:v>
      </x:c>
    </x:row>
    <x:row r="21" ht="15" customHeight="1">
      <x:c r="A21" s="5"/>
      <x:c r="B21" s="29"/>
      <x:c r="C21" s="29"/>
      <x:c r="D21" s="48" t="s">
        <x:v>19</x:v>
      </x:c>
      <x:c r="E21" s="48"/>
      <x:c r="F21" s="48"/>
      <x:c r="G21" s="49">
        <x:v>0.25</x:v>
      </x:c>
      <x:c r="H21" s="49"/>
    </x:row>
    <x:row r="22" ht="15" customHeight="1">
      <x:c r="A22" s="8"/>
      <x:c r="B22" s="29"/>
      <x:c r="C22" s="29"/>
      <x:c r="D22" s="45" t="s">
        <x:v>20</x:v>
      </x:c>
      <x:c r="E22" s="45"/>
      <x:c r="F22" s="45"/>
      <x:c r="G22" s="24" t="n">
        <x:f>G20*(1+G21)</x:f>
        <x:v>8758.75</x:v>
      </x:c>
      <x:c r="H22" s="24" t="s">
        <x:v>17</x:v>
      </x:c>
    </x:row>
    <x:row r="23" ht="15" customHeight="1">
      <x:c r="A23" s="9"/>
      <x:c r="B23" s="10"/>
      <x:c r="C23" s="10"/>
      <x:c r="D23" s="6"/>
      <x:c r="E23" s="6"/>
      <x:c r="G23" s="28"/>
      <x:c r="H23" s="28"/>
    </x:row>
    <x:row r="24" ht="15" customHeight="1">
      <x:c r="A24" s="57" t="str">
        <x:v>Source</x:v>
      </x:c>
      <x:c r="B24" s="58" t="str">
        <x:v>12 V Wall Supply</x:v>
      </x:c>
      <x:c r="C24" s="58" t="str">
        <x:v>GST60A12-P1J</x:v>
      </x:c>
      <x:c r="D24" s="47" t="str">
        <x:v>12 V regulated output</x:v>
      </x:c>
      <x:c r="E24" s="47" t="n">
        <x:v>1</x:v>
      </x:c>
      <x:c r="F24" s="47" t="n">
        <x:v>5000</x:v>
      </x:c>
      <x:c r="G24" s="47" t="n">
        <x:f>E24*F24</x:f>
        <x:v>5000</x:v>
      </x:c>
      <x:c r="H24" s="47" t="s">
        <x:v>17</x:v>
      </x:c>
    </x:row>
    <x:row r="25" ht="15" customHeight="1">
      <x:c r="A25" s="52"/>
      <x:c r="B25" s="55" t="str">
        <x:v>Total Remaining Current Available on +12V Rail</x:v>
      </x:c>
      <x:c r="C25" s="56"/>
      <x:c r="D25" s="56"/>
      <x:c r="E25" s="56"/>
      <x:c r="F25" s="56"/>
      <x:c r="G25" s="24" t="n">
        <x:f>G24-G22</x:f>
        <x:v>-3758.75</x:v>
      </x:c>
      <x:c r="H25" s="24" t="s">
        <x:v>17</x:v>
      </x:c>
    </x:row>
    <x:row r="26" ht="15" customHeight="1">
      <x:c r="A26" s="52"/>
      <x:c r="B26" s="53"/>
      <x:c r="C26" s="16"/>
      <x:c r="D26" s="16"/>
      <x:c r="E26" s="16"/>
      <x:c r="F26" s="16"/>
      <x:c r="G26" s="51"/>
      <x:c r="H26" s="51"/>
    </x:row>
    <x:row r="27" ht="48">
      <x:c r="A27" s="60" t="s">
        <x:v>21</x:v>
      </x:c>
      <x:c r="B27" s="26" t="s">
        <x:v>9</x:v>
      </x:c>
      <x:c r="C27" s="26" t="s">
        <x:v>10</x:v>
      </x:c>
      <x:c r="D27" s="27" t="s">
        <x:v>22</x:v>
      </x:c>
      <x:c r="E27" s="26" t="s">
        <x:v>12</x:v>
      </x:c>
      <x:c r="F27" s="27" t="s">
        <x:v>23</x:v>
      </x:c>
      <x:c r="G27" s="27" t="s">
        <x:v>24</x:v>
      </x:c>
      <x:c r="H27" s="26" t="s">
        <x:v>15</x:v>
      </x:c>
    </x:row>
    <x:row r="28" ht="15" customHeight="1">
      <x:c r="A28" s="5"/>
      <x:c r="B28" s="23" t="str">
        <x:v>PIC18F57Q43 Curiosity Nano</x:v>
      </x:c>
      <x:c r="C28" s="23" t="str">
        <x:v>DM164150</x:v>
      </x:c>
      <x:c r="D28" s="24" t="str">
        <x:v>1.8-5.5 V</x:v>
      </x:c>
      <x:c r="E28" s="24" t="n">
        <x:v>1</x:v>
      </x:c>
      <x:c r="F28" s="24" t="n">
        <x:v>100</x:v>
      </x:c>
      <x:c r="G28" s="24" t="n">
        <x:f t="shared" ref="G28:G30" si="2">E28*F28</x:f>
        <x:v>100</x:v>
      </x:c>
      <x:c r="H28" s="24" t="s">
        <x:v>17</x:v>
      </x:c>
    </x:row>
    <x:row r="29" ht="15" customHeight="1">
      <x:c r="A29" s="5"/>
      <x:c r="B29" s="20" t="str">
        <x:v>Quad Op-Amp</x:v>
      </x:c>
      <x:c r="C29" s="20" t="str">
        <x:v>MCP6004-I/P</x:v>
      </x:c>
      <x:c r="D29" s="21" t="str">
        <x:v>1.8-6 V</x:v>
      </x:c>
      <x:c r="E29" s="21" t="n">
        <x:v>1</x:v>
      </x:c>
      <x:c r="F29" s="21" t="n">
        <x:v>0.68</x:v>
      </x:c>
      <x:c r="G29" s="21" t="n">
        <x:f t="shared" si="2">E29*F29</x:f>
        <x:v>0.68</x:v>
      </x:c>
      <x:c r="H29" s="21" t="s">
        <x:v>17</x:v>
      </x:c>
    </x:row>
    <x:row r="30" ht="15" customHeight="1">
      <x:c r="A30" s="5"/>
      <x:c r="B30" s="46" t="str">
        <x:v>Reflective IR Sensor + IR LED</x:v>
      </x:c>
      <x:c r="C30" s="46" t="str">
        <x:v>OPB732</x:v>
      </x:c>
      <x:c r="D30" s="47" t="str">
        <x:v>5 V emitter circuit</x:v>
      </x:c>
      <x:c r="E30" s="47" t="n">
        <x:v>1</x:v>
      </x:c>
      <x:c r="F30" s="47" t="n">
        <x:v>50</x:v>
      </x:c>
      <x:c r="G30" s="47" t="n">
        <x:f t="shared" si="2">E30*F30</x:f>
        <x:v>50</x:v>
      </x:c>
      <x:c r="H30" s="47" t="s">
        <x:v>17</x:v>
      </x:c>
    </x:row>
    <x:row r="31" ht="15" customHeight="1">
      <x:c r="A31" s="5"/>
      <x:c r="B31" s="29"/>
      <x:c r="C31" s="29"/>
      <x:c r="D31" s="45" t="s">
        <x:v>18</x:v>
      </x:c>
      <x:c r="E31" s="45"/>
      <x:c r="F31" s="45"/>
      <x:c r="G31" s="24" t="n">
        <x:f>SUM(G28:G30)</x:f>
        <x:v>150.68</x:v>
      </x:c>
      <x:c r="H31" s="24" t="s">
        <x:v>17</x:v>
      </x:c>
    </x:row>
    <x:row r="32" ht="15" customHeight="1">
      <x:c r="A32" s="5"/>
      <x:c r="D32" s="48" t="s">
        <x:v>19</x:v>
      </x:c>
      <x:c r="E32" s="48"/>
      <x:c r="F32" s="48"/>
      <x:c r="G32" s="49">
        <x:v>0.25</x:v>
      </x:c>
      <x:c r="H32" s="49"/>
    </x:row>
    <x:row r="33" ht="15" customHeight="1">
      <x:c r="A33" s="8"/>
      <x:c r="D33" s="45" t="s">
        <x:v>25</x:v>
      </x:c>
      <x:c r="E33" s="45"/>
      <x:c r="F33" s="45"/>
      <x:c r="G33" s="24" t="n">
        <x:f>G31*(1+G32)</x:f>
        <x:v>188.35000000000002</x:v>
      </x:c>
      <x:c r="H33" s="24" t="s">
        <x:v>17</x:v>
      </x:c>
    </x:row>
    <x:row r="34" ht="15" customHeight="1">
      <x:c r="A34" s="9"/>
      <x:c r="B34" s="50"/>
      <x:c r="C34" s="50"/>
      <x:c r="D34" s="51"/>
      <x:c r="E34" s="51"/>
      <x:c r="F34" s="51"/>
      <x:c r="G34" s="12"/>
      <x:c r="H34" s="12"/>
    </x:row>
    <x:row r="35" ht="15" customHeight="1">
      <x:c r="A35" s="59" t="str">
        <x:v>Regulator</x:v>
      </x:c>
      <x:c r="B35" s="58" t="str">
        <x:v>+5V Linear Regulator</x:v>
      </x:c>
      <x:c r="C35" s="58" t="str">
        <x:v>L7805CV</x:v>
      </x:c>
      <x:c r="D35" s="47" t="str">
        <x:v>7-35 V input</x:v>
      </x:c>
      <x:c r="E35" s="47" t="n">
        <x:v>1</x:v>
      </x:c>
      <x:c r="F35" s="47" t="n">
        <x:v>1500</x:v>
      </x:c>
      <x:c r="G35" s="47" t="n">
        <x:f>E35*F35</x:f>
        <x:v>1500</x:v>
      </x:c>
      <x:c r="H35" s="47" t="s">
        <x:v>17</x:v>
      </x:c>
    </x:row>
    <x:row r="36" ht="15" customHeight="1">
      <x:c r="A36" s="52"/>
      <x:c r="B36" s="55" t="s">
        <x:v>26</x:v>
      </x:c>
      <x:c r="C36" s="55"/>
      <x:c r="D36" s="55"/>
      <x:c r="E36" s="55"/>
      <x:c r="F36" s="55"/>
      <x:c r="G36" s="24" t="n">
        <x:f>G35-G33</x:f>
        <x:v>1311.65</x:v>
      </x:c>
      <x:c r="H36" s="24" t="s">
        <x:v>17</x:v>
      </x:c>
    </x:row>
    <x:row r="37" ht="15" customHeight="1">
      <x:c r="A37" s="89"/>
      <x:c r="B37" s="90"/>
      <x:c r="C37" s="91"/>
      <x:c r="D37" s="91"/>
      <x:c r="E37" s="91"/>
      <x:c r="F37" s="91"/>
      <x:c r="G37" s="92"/>
      <x:c r="H37" s="92"/>
    </x:row>
    <x:row r="38" ht="48">
      <x:c r="A38" s="60" t="str">
        <x:v>Unused Power Rail</x:v>
      </x:c>
      <x:c r="B38" s="26" t="s">
        <x:v>9</x:v>
      </x:c>
      <x:c r="C38" s="26" t="s">
        <x:v>10</x:v>
      </x:c>
      <x:c r="D38" s="27" t="s">
        <x:v>22</x:v>
      </x:c>
      <x:c r="E38" s="26" t="s">
        <x:v>12</x:v>
      </x:c>
      <x:c r="F38" s="27" t="s">
        <x:v>23</x:v>
      </x:c>
      <x:c r="G38" s="27" t="s">
        <x:v>24</x:v>
      </x:c>
      <x:c r="H38" s="26" t="s">
        <x:v>15</x:v>
      </x:c>
    </x:row>
    <x:row r="39" ht="15" customHeight="1">
      <x:c r="A39" s="5"/>
      <x:c r="B39" s="23"/>
      <x:c r="C39" s="23"/>
      <x:c r="D39" s="24"/>
      <x:c r="E39" s="24"/>
      <x:c r="F39" s="24"/>
      <x:c r="G39" s="24" t="n">
        <x:f>E39*F39</x:f>
        <x:v>0</x:v>
      </x:c>
      <x:c r="H39" s="24" t="s">
        <x:v>17</x:v>
      </x:c>
    </x:row>
    <x:row r="40" ht="15" customHeight="1">
      <x:c r="A40" s="5"/>
      <x:c r="B40" s="46"/>
      <x:c r="C40" s="46"/>
      <x:c r="D40" s="47"/>
      <x:c r="E40" s="47"/>
      <x:c r="F40" s="47"/>
      <x:c r="G40" s="47" t="n">
        <x:f t="shared" ref="G40" si="3">E40*F40</x:f>
        <x:v>0</x:v>
      </x:c>
      <x:c r="H40" s="47" t="s">
        <x:v>17</x:v>
      </x:c>
    </x:row>
    <x:row r="41" ht="15" customHeight="1">
      <x:c r="A41" s="5"/>
      <x:c r="C41" s="87"/>
      <x:c r="D41" s="80" t="str">
        <x:v>Subtotal </x:v>
      </x:c>
      <x:c r="E41" s="81"/>
      <x:c r="F41" s="82"/>
      <x:c r="G41" s="24" t="n">
        <x:f>SUM(G39:G40)</x:f>
        <x:v>0</x:v>
      </x:c>
      <x:c r="H41" s="24" t="s">
        <x:v>17</x:v>
      </x:c>
    </x:row>
    <x:row r="42" ht="15" customHeight="1">
      <x:c r="A42" s="5"/>
      <x:c r="C42" s="88"/>
      <x:c r="D42" s="83" t="s">
        <x:v>19</x:v>
      </x:c>
      <x:c r="E42" s="84"/>
      <x:c r="F42" s="85"/>
      <x:c r="G42" s="49">
        <x:v>0.25</x:v>
      </x:c>
      <x:c r="H42" s="49"/>
    </x:row>
    <x:row r="43" ht="15" customHeight="1">
      <x:c r="A43" s="5"/>
      <x:c r="B43" s="29"/>
      <x:c r="C43" s="88"/>
      <x:c r="D43" s="80" t="str">
        <x:v>Total Current Required on Unused Rail</x:v>
      </x:c>
      <x:c r="E43" s="81"/>
      <x:c r="F43" s="82"/>
      <x:c r="G43" s="24" t="n">
        <x:f>G41*(1+G42)</x:f>
        <x:v>0</x:v>
      </x:c>
      <x:c r="H43" s="24" t="s">
        <x:v>17</x:v>
      </x:c>
    </x:row>
    <x:row r="44" ht="15" customHeight="1">
      <x:c r="A44" s="9"/>
      <x:c r="C44" s="86"/>
      <x:c r="D44" s="6"/>
      <x:c r="E44" s="6"/>
      <x:c r="G44" s="96"/>
      <x:c r="H44" s="30"/>
    </x:row>
    <x:row r="45" ht="32.25">
      <x:c r="A45" s="132" t="str">
        <x:v>Regulator</x:v>
      </x:c>
      <x:c r="B45" s="128" t="str">
        <x:v>None</x:v>
      </x:c>
      <x:c r="C45" s="129" t="str">
        <x:v>N/A</x:v>
      </x:c>
      <x:c r="D45" s="130" t="str">
        <x:v>N/A</x:v>
      </x:c>
      <x:c r="E45" s="130" t="n">
        <x:v>1</x:v>
      </x:c>
      <x:c r="F45" s="130" t="n">
        <x:v>0</x:v>
      </x:c>
      <x:c r="G45" s="130" t="n">
        <x:f>E45*F45</x:f>
        <x:v>0</x:v>
      </x:c>
      <x:c r="H45" s="130" t="s">
        <x:v>17</x:v>
      </x:c>
    </x:row>
    <x:row r="46" ht="15" customHeight="1">
      <x:c r="A46" s="29"/>
      <x:c r="B46" s="93" t="str">
        <x:v>Total Remaining Current Available on Unused Rail</x:v>
      </x:c>
      <x:c r="C46" s="94"/>
      <x:c r="D46" s="94"/>
      <x:c r="E46" s="94"/>
      <x:c r="F46" s="95"/>
      <x:c r="G46" s="24" t="n">
        <x:f>G45-G43</x:f>
        <x:v>0</x:v>
      </x:c>
      <x:c r="H46" s="24" t="s">
        <x:v>17</x:v>
      </x:c>
    </x:row>
    <x:row r="47" s="29" customFormat="1" ht="15" customHeight="1">
      <x:c r="A47" s="126"/>
      <x:c r="B47" s="126"/>
      <x:c r="C47" s="126"/>
      <x:c r="D47" s="126"/>
      <x:c r="E47" s="126"/>
      <x:c r="F47" s="127"/>
      <x:c r="G47" s="98"/>
      <x:c r="H47" s="97"/>
    </x:row>
    <x:row r="48" ht="48">
      <x:c r="A48" s="63" t="str">
        <x:v>External Power Source 1</x:v>
      </x:c>
      <x:c r="B48" s="64" t="s">
        <x:v>9</x:v>
      </x:c>
      <x:c r="C48" s="64" t="s">
        <x:v>10</x:v>
      </x:c>
      <x:c r="D48" s="65" t="s">
        <x:v>22</x:v>
      </x:c>
      <x:c r="E48" s="65" t="s">
        <x:v>27</x:v>
      </x:c>
      <x:c r="F48" s="65" t="s">
        <x:v>23</x:v>
      </x:c>
      <x:c r="G48" s="65" t="s">
        <x:v>24</x:v>
      </x:c>
      <x:c r="H48" s="66" t="s">
        <x:v>15</x:v>
      </x:c>
    </x:row>
    <x:row r="49" ht="15" customHeight="1">
      <x:c r="A49" s="67" t="str">
        <x:v>Power Source 1 Selection</x:v>
      </x:c>
      <x:c r="B49" s="61" t="str">
        <x:v>12 V Wall Supply</x:v>
      </x:c>
      <x:c r="C49" s="24" t="str">
        <x:v>GST60A12-P1J</x:v>
      </x:c>
      <x:c r="D49" s="24" t="str">
        <x:v>100-240 VAC</x:v>
      </x:c>
      <x:c r="E49" s="24" t="str">
        <x:v>12 V</x:v>
      </x:c>
      <x:c r="F49" s="24" t="n">
        <x:v>5000</x:v>
      </x:c>
      <x:c r="G49" s="24" t="n">
        <x:v>5000</x:v>
      </x:c>
      <x:c r="H49" s="68" t="s">
        <x:v>17</x:v>
      </x:c>
    </x:row>
    <x:row r="50" ht="15" customHeight="1">
      <x:c r="A50" s="69"/>
      <x:c r="B50" s="54"/>
      <x:c r="C50" s="54"/>
      <x:c r="D50" s="21"/>
      <x:c r="E50" s="21"/>
      <x:c r="F50" s="21"/>
      <x:c r="G50" s="21"/>
      <x:c r="H50" s="43"/>
    </x:row>
    <x:row r="51" ht="15" customHeight="1">
      <x:c r="A51" s="70" t="str">
        <x:v>Power Rails Connected to External Power Source 1</x:v>
      </x:c>
      <x:c r="B51" s="54" t="str">
        <x:v>+12V Motor Rail</x:v>
      </x:c>
      <x:c r="C51" s="54" t="str">
        <x:v>Direct from 12 V supply</x:v>
      </x:c>
      <x:c r="D51" s="21" t="str">
        <x:v>12 V</x:v>
      </x:c>
      <x:c r="E51" s="21" t="n">
        <x:v>1</x:v>
      </x:c>
      <x:c r="F51" s="21" t="n">
        <x:v>7007</x:v>
      </x:c>
      <x:c r="G51" s="21" t="n">
        <x:f t="shared" ref="G51:G53" si="4">E51*F51</x:f>
        <x:v>7007</x:v>
      </x:c>
      <x:c r="H51" s="43" t="s">
        <x:v>17</x:v>
      </x:c>
    </x:row>
    <x:row r="52" ht="15" customHeight="1">
      <x:c r="A52" s="71"/>
      <x:c r="B52" s="54" t="str">
        <x:v>+5V Linear Regulator</x:v>
      </x:c>
      <x:c r="C52" s="54" t="str">
        <x:v>L7805CV</x:v>
      </x:c>
      <x:c r="D52" s="21" t="str">
        <x:v>7-35 V input</x:v>
      </x:c>
      <x:c r="E52" s="21" t="n">
        <x:v>1</x:v>
      </x:c>
      <x:c r="F52" s="21" t="n">
        <x:v>1500</x:v>
      </x:c>
      <x:c r="G52" s="21" t="n">
        <x:f t="shared" si="4">E52*F52</x:f>
        <x:v>1500</x:v>
      </x:c>
      <x:c r="H52" s="43" t="s">
        <x:v>17</x:v>
      </x:c>
    </x:row>
    <x:row r="53" ht="32.25">
      <x:c r="A53" s="72"/>
      <x:c r="B53" s="128" t="str">
        <x:v>Unused Rail</x:v>
      </x:c>
      <x:c r="C53" s="129" t="str">
        <x:v>N/A</x:v>
      </x:c>
      <x:c r="D53" s="130" t="str">
        <x:v>N/A</x:v>
      </x:c>
      <x:c r="E53" s="130" t="n">
        <x:v>1</x:v>
      </x:c>
      <x:c r="F53" s="130" t="n">
        <x:v>0</x:v>
      </x:c>
      <x:c r="G53" s="130" t="n">
        <x:f t="shared" si="4">E53*F53</x:f>
        <x:v>0</x:v>
      </x:c>
      <x:c r="H53" s="131" t="s">
        <x:v>17</x:v>
      </x:c>
    </x:row>
    <x:row r="54" ht="15" customHeight="1">
      <x:c r="A54" s="74" t="s">
        <x:v>28</x:v>
      </x:c>
      <x:c r="B54" s="75"/>
      <x:c r="C54" s="75"/>
      <x:c r="D54" s="75"/>
      <x:c r="E54" s="75"/>
      <x:c r="F54" s="76"/>
      <x:c r="G54" s="77" t="n">
        <x:f>G49-SUM(G51:G53)</x:f>
        <x:v>-3507</x:v>
      </x:c>
      <x:c r="H54" s="78" t="s">
        <x:v>17</x:v>
      </x:c>
    </x:row>
    <x:row r="55" ht="15" customHeight="1">
      <x:c r="A55" s="11"/>
      <x:c r="B55" s="30"/>
      <x:c r="C55" s="30"/>
      <x:c r="D55" s="30"/>
      <x:c r="E55" s="30"/>
      <x:c r="F55" s="30"/>
      <x:c r="G55" s="99"/>
      <x:c r="H55" s="99"/>
      <x:c r="I55" s="29"/>
    </x:row>
    <x:row r="56" ht="48">
      <x:c r="A56" s="63" t="str">
        <x:v>External Power Source 2 (Not Used)</x:v>
      </x:c>
      <x:c r="B56" s="64" t="s">
        <x:v>9</x:v>
      </x:c>
      <x:c r="C56" s="64" t="s">
        <x:v>10</x:v>
      </x:c>
      <x:c r="D56" s="65" t="s">
        <x:v>22</x:v>
      </x:c>
      <x:c r="E56" s="65" t="s">
        <x:v>27</x:v>
      </x:c>
      <x:c r="F56" s="65" t="s">
        <x:v>23</x:v>
      </x:c>
      <x:c r="G56" s="65" t="s">
        <x:v>24</x:v>
      </x:c>
      <x:c r="H56" s="66" t="s">
        <x:v>15</x:v>
      </x:c>
    </x:row>
    <x:row r="57" ht="15" customHeight="1">
      <x:c r="A57" s="67" t="str">
        <x:v>Power Source 2 Selection</x:v>
      </x:c>
      <x:c r="B57" s="61" t="str">
        <x:v>None</x:v>
      </x:c>
      <x:c r="C57" s="24" t="str">
        <x:v>N/A</x:v>
      </x:c>
      <x:c r="D57" s="24" t="str">
        <x:v>N/A</x:v>
      </x:c>
      <x:c r="E57" s="24" t="str">
        <x:v>N/A</x:v>
      </x:c>
      <x:c r="F57" s="24" t="n">
        <x:v>0</x:v>
      </x:c>
      <x:c r="G57" s="24" t="n">
        <x:v>0</x:v>
      </x:c>
      <x:c r="H57" s="68" t="s">
        <x:v>17</x:v>
      </x:c>
      <x:c r="J57" s="29"/>
    </x:row>
    <x:row r="58" ht="15" customHeight="1">
      <x:c r="A58" s="69"/>
      <x:c r="B58" s="54"/>
      <x:c r="C58" s="54"/>
      <x:c r="D58" s="21"/>
      <x:c r="E58" s="21"/>
      <x:c r="F58" s="21"/>
      <x:c r="G58" s="21"/>
      <x:c r="H58" s="43"/>
    </x:row>
    <x:row r="59" ht="15" customHeight="1">
      <x:c r="A59" s="70" t="str">
        <x:v>Power Rails Connected to External Power Source 2</x:v>
      </x:c>
      <x:c r="B59" s="54" t="str">
        <x:v>None</x:v>
      </x:c>
      <x:c r="C59" s="54" t="str">
        <x:v>N/A</x:v>
      </x:c>
      <x:c r="D59" s="21" t="str">
        <x:v>N/A</x:v>
      </x:c>
      <x:c r="E59" s="21" t="n">
        <x:v>1</x:v>
      </x:c>
      <x:c r="F59" s="21" t="n">
        <x:v>0</x:v>
      </x:c>
      <x:c r="G59" s="21" t="n">
        <x:f>E59*F59</x:f>
        <x:v>0</x:v>
      </x:c>
      <x:c r="H59" s="43" t="s">
        <x:v>17</x:v>
      </x:c>
    </x:row>
    <x:row r="60" ht="15" customHeight="1">
      <x:c r="A60" s="71"/>
      <x:c r="B60" s="54"/>
      <x:c r="C60" s="54"/>
      <x:c r="D60" s="21"/>
      <x:c r="E60" s="21"/>
      <x:c r="F60" s="21"/>
      <x:c r="G60" s="21"/>
      <x:c r="H60" s="43"/>
    </x:row>
    <x:row r="61" ht="15" customHeight="1">
      <x:c r="A61" s="72"/>
      <x:c r="B61" s="46"/>
      <x:c r="C61" s="46"/>
      <x:c r="D61" s="47"/>
      <x:c r="E61" s="47"/>
      <x:c r="F61" s="47"/>
      <x:c r="G61" s="47"/>
      <x:c r="H61" s="73"/>
    </x:row>
    <x:row r="62" ht="15" customHeight="1">
      <x:c r="A62" s="100"/>
      <x:c r="B62" s="101" t="str">
        <x:v>Total Remaining Current Available on External Power Source 2</x:v>
      </x:c>
      <x:c r="C62" s="102"/>
      <x:c r="D62" s="102"/>
      <x:c r="E62" s="102"/>
      <x:c r="F62" s="102"/>
      <x:c r="G62" s="77" t="n">
        <x:f>G57-SUM(G59:G61)</x:f>
        <x:v>0</x:v>
      </x:c>
      <x:c r="H62" s="78" t="s">
        <x:v>17</x:v>
      </x:c>
    </x:row>
    <x:row r="63" ht="15" customHeight="1">
      <x:c r="A63" s="8"/>
      <x:c r="B63" s="29"/>
      <x:c r="C63" s="29"/>
      <x:c r="D63" s="16"/>
      <x:c r="E63" s="51"/>
      <x:c r="F63" s="51"/>
      <x:c r="G63" s="51"/>
      <x:c r="H63" s="51"/>
    </x:row>
    <x:row r="64" ht="15" customHeight="1">
      <x:c r="A64" s="112" t="str">
        <x:v>Calculated Battery Life (Not Applicable)</x:v>
      </x:c>
      <x:c r="B64" s="113"/>
      <x:c r="C64" s="113"/>
      <x:c r="D64" s="113"/>
      <x:c r="E64" s="113"/>
      <x:c r="F64" s="113"/>
      <x:c r="G64" s="114"/>
      <x:c r="H64" s="115"/>
      <x:c r="I64" s="29"/>
    </x:row>
    <x:row r="65" ht="47.25">
      <x:c r="A65" s="123"/>
      <x:c r="B65" s="124" t="s">
        <x:v>9</x:v>
      </x:c>
      <x:c r="C65" s="124" t="s">
        <x:v>10</x:v>
      </x:c>
      <x:c r="D65" s="41" t="s">
        <x:v>22</x:v>
      </x:c>
      <x:c r="E65" s="40"/>
      <x:c r="F65" s="41" t="s">
        <x:v>29</x:v>
      </x:c>
      <x:c r="G65" s="41" t="s">
        <x:v>30</x:v>
      </x:c>
      <x:c r="H65" s="125"/>
    </x:row>
    <x:row r="66" ht="15" customHeight="1">
      <x:c r="A66" s="116"/>
      <x:c r="B66" s="46" t="str">
        <x:v>No Battery Used</x:v>
      </x:c>
      <x:c r="C66" s="46" t="str">
        <x:v>N/A</x:v>
      </x:c>
      <x:c r="D66" s="47" t="str">
        <x:v>N/A</x:v>
      </x:c>
      <x:c r="E66" s="47"/>
      <x:c r="F66" s="47" t="n">
        <x:v>0</x:v>
      </x:c>
      <x:c r="G66" s="47" t="n">
        <x:f>SUM(G59:G61)</x:f>
        <x:v>0</x:v>
      </x:c>
      <x:c r="H66" s="73"/>
    </x:row>
    <x:row r="67" ht="15" customHeight="1">
      <x:c r="A67" s="117"/>
      <x:c r="B67" s="118"/>
      <x:c r="C67" s="118"/>
      <x:c r="D67" s="119"/>
      <x:c r="E67" s="119"/>
      <x:c r="F67" s="120" t="str">
        <x:v>Battery Life</x:v>
      </x:c>
      <x:c r="G67" s="121" t="n">
        <x:f>IF(G66=0,0,F66/G66)</x:f>
        <x:v>0</x:v>
      </x:c>
      <x:c r="H67" s="122" t="str">
        <x:v>hours</x:v>
      </x:c>
    </x:row>
    <x:row r="68" ht="15" customHeight="1">
      <x:c r="A68" s="29"/>
      <x:c r="D68" s="6"/>
      <x:c r="E68" s="6"/>
      <x:c r="F68" s="39"/>
      <x:c r="G68" s="51"/>
      <x:c r="H68" s="51"/>
    </x:row>
    <x:row r="69" ht="15" customHeight="1">
      <x:c r="A69" s="103" t="s">
        <x:v>31</x:v>
      </x:c>
      <x:c r="B69" s="104"/>
      <x:c r="C69" s="104"/>
      <x:c r="D69" s="104"/>
      <x:c r="E69" s="104"/>
      <x:c r="F69" s="104"/>
      <x:c r="G69" s="105"/>
      <x:c r="H69" s="106"/>
    </x:row>
    <x:row r="70" ht="15" customHeight="1">
      <x:c r="A70" s="107" t="s">
        <x:v>32</x:v>
      </x:c>
      <x:c r="B70" s="79"/>
      <x:c r="C70" s="79"/>
      <x:c r="D70" s="79"/>
      <x:c r="E70" s="79"/>
      <x:c r="F70" s="79"/>
      <x:c r="G70" s="79"/>
      <x:c r="H70" s="108"/>
    </x:row>
    <x:row r="71" ht="15" customHeight="1">
      <x:c r="A71" s="109" t="s">
        <x:v>33</x:v>
      </x:c>
      <x:c r="B71" s="110"/>
      <x:c r="C71" s="110"/>
      <x:c r="D71" s="110"/>
      <x:c r="E71" s="110"/>
      <x:c r="F71" s="110"/>
      <x:c r="G71" s="110"/>
      <x:c r="H71" s="111"/>
    </x:row>
  </x:sheetData>
  <x:mergeCells>
    <x:mergeCell ref="D41:F41"/>
    <x:mergeCell ref="D42:F42"/>
    <x:mergeCell ref="D43:F43"/>
    <x:mergeCell ref="B46:F46"/>
    <x:mergeCell ref="D20:F20"/>
    <x:mergeCell ref="D21:F21"/>
    <x:mergeCell ref="D22:F22"/>
    <x:mergeCell ref="D31:F31"/>
    <x:mergeCell ref="D32:F32"/>
    <x:mergeCell ref="A70:H70"/>
    <x:mergeCell ref="A71:H71"/>
    <x:mergeCell ref="A51:A53"/>
    <x:mergeCell ref="A59:A61"/>
    <x:mergeCell ref="B62:F62"/>
    <x:mergeCell ref="A64:F64"/>
    <x:mergeCell ref="A69:F69"/>
    <x:mergeCell ref="A54:F54"/>
    <x:mergeCell ref="B36:F36"/>
    <x:mergeCell ref="B25:F25"/>
    <x:mergeCell ref="D33:F33"/>
    <x:mergeCell ref="A1:H1"/>
    <x:mergeCell ref="A7:H7"/>
  </x:mergeCells>
  <x:conditionalFormatting sqref="G25:G26 G36:G37 G46:G46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28d852650da948f8"/>
</x:worksheet>
</file>