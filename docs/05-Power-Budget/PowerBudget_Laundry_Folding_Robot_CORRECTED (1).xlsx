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neek\Downloads\"/>
    </mc:Choice>
  </mc:AlternateContent>
  <xr:revisionPtr revIDLastSave="0" documentId="11_48349988590BB5E846BF067057A2663E7540EFBC" xr6:coauthVersionLast="47" xr6:coauthVersionMax="47" xr10:uidLastSave="{00000000-0000-0000-0000-000000000000}"/>
  <bookViews>
    <workbookView xWindow="-96" yWindow="-96" windowWidth="23232" windowHeight="12432" tabRatio="500" xr2:uid="{00000000-000D-0000-FFFF-FFFF00000000}"/>
  </bookViews>
  <sheets>
    <sheet name="Power Budget" sheetId="1" r:id="rId1"/>
  </sheets>
  <definedNames>
    <definedName name="_xlnm.Print_Area" localSheetId="0">'Power Budget'!$A$1:$H$71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6" i="1" l="1"/>
  <c r="G67" i="1" s="1"/>
  <c r="G62" i="1"/>
  <c r="G59" i="1"/>
  <c r="G45" i="1"/>
  <c r="G41" i="1"/>
  <c r="G43" i="1" s="1"/>
  <c r="G40" i="1"/>
  <c r="G39" i="1"/>
  <c r="G35" i="1"/>
  <c r="G31" i="1"/>
  <c r="G33" i="1" s="1"/>
  <c r="F52" i="1" s="1"/>
  <c r="G52" i="1" s="1"/>
  <c r="G30" i="1"/>
  <c r="G29" i="1"/>
  <c r="G28" i="1"/>
  <c r="G24" i="1"/>
  <c r="G20" i="1"/>
  <c r="G22" i="1" s="1"/>
  <c r="F51" i="1" s="1"/>
  <c r="G51" i="1" s="1"/>
  <c r="G54" i="1" s="1"/>
  <c r="G19" i="1"/>
  <c r="G18" i="1"/>
  <c r="G14" i="1"/>
  <c r="G13" i="1"/>
  <c r="G12" i="1"/>
  <c r="G11" i="1"/>
  <c r="G10" i="1"/>
  <c r="G9" i="1"/>
  <c r="G36" i="1" l="1"/>
  <c r="G25" i="1"/>
  <c r="G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8" authorId="0" shapeId="0" xr:uid="{00000000-0006-0000-0000-000001000000}">
      <text>
        <r>
          <rPr>
            <sz val="10"/>
            <rFont val="Arial"/>
            <family val="2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<sst xmlns="http://schemas.openxmlformats.org/spreadsheetml/2006/main" count="191" uniqueCount="79">
  <si>
    <t>Power Budget</t>
  </si>
  <si>
    <t>Team Number:</t>
  </si>
  <si>
    <t>Project Name:</t>
  </si>
  <si>
    <t>Automated Laundry Folding Robot</t>
  </si>
  <si>
    <t>Team Member Names:</t>
  </si>
  <si>
    <t>Diego, Ruben, Zainan, Kristen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</si>
  <si>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</si>
  <si>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</si>
  <si>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</si>
  <si>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</si>
  <si>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</si>
  <si>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 Voltage Range</t>
  </si>
  <si>
    <t>Qty.</t>
  </si>
  <si>
    <t>Absolute Maximum Current (mA)</t>
  </si>
  <si>
    <t>Total Current (mA)</t>
  </si>
  <si>
    <t>Unit</t>
  </si>
  <si>
    <t>DC Gearmotor</t>
  </si>
  <si>
    <t>FIT0492-A</t>
  </si>
  <si>
    <t>12 V</t>
  </si>
  <si>
    <t>mA</t>
  </si>
  <si>
    <t>H-Bridge Motor Driver</t>
  </si>
  <si>
    <t>DRV8876PWPR</t>
  </si>
  <si>
    <t>4.5-37 V</t>
  </si>
  <si>
    <t>PIC18F57Q43 Curiosity Nano</t>
  </si>
  <si>
    <t>DM164150</t>
  </si>
  <si>
    <t>1.8-5.5 V</t>
  </si>
  <si>
    <t>Quad Op-Amp</t>
  </si>
  <si>
    <t>MCP6004-I/P</t>
  </si>
  <si>
    <t>1.8-6 V</t>
  </si>
  <si>
    <t>Reflective IR Sensor</t>
  </si>
  <si>
    <t>OPB732</t>
  </si>
  <si>
    <t>5 V emitter circuit</t>
  </si>
  <si>
    <t>N/A</t>
  </si>
  <si>
    <t>+12V Power Rail</t>
  </si>
  <si>
    <t xml:space="preserve">Subtotal </t>
  </si>
  <si>
    <t>Safety Margin</t>
  </si>
  <si>
    <t>Total Current Required on +12V Rail</t>
  </si>
  <si>
    <t>Source</t>
  </si>
  <si>
    <t>12 V Wall Supply</t>
  </si>
  <si>
    <t>GST60A12-P1J</t>
  </si>
  <si>
    <t>12 V regulated output</t>
  </si>
  <si>
    <t>Total Remaining Current Available on +12V Rail</t>
  </si>
  <si>
    <t>+5V Power Rail</t>
  </si>
  <si>
    <t>Reflective IR Sensor + IR LED</t>
  </si>
  <si>
    <t>Total Current Required on +5V Rail</t>
  </si>
  <si>
    <t>Regulator</t>
  </si>
  <si>
    <t>+5V Linear Regulator</t>
  </si>
  <si>
    <t>L7805CV</t>
  </si>
  <si>
    <t>7-35 V input</t>
  </si>
  <si>
    <t>Total Remaining Current Available on +5V Rail</t>
  </si>
  <si>
    <t>Unused Power Rail</t>
  </si>
  <si>
    <t>Total Current Required on Unused Rail</t>
  </si>
  <si>
    <t>None</t>
  </si>
  <si>
    <t>Total Remaining Current Available on Unused Rail</t>
  </si>
  <si>
    <t>External Power Source 1</t>
  </si>
  <si>
    <t>Output Voltage</t>
  </si>
  <si>
    <t>Power Source 1 Selection</t>
  </si>
  <si>
    <t>100-240 VAC</t>
  </si>
  <si>
    <t>Power Rails Connected to External Power Source 1</t>
  </si>
  <si>
    <t>+12V Motor Rail</t>
  </si>
  <si>
    <t>Direct from 12 V supply</t>
  </si>
  <si>
    <t>12 V input</t>
  </si>
  <si>
    <t>5 V</t>
  </si>
  <si>
    <t>Unused Rail</t>
  </si>
  <si>
    <t>Total Remaining Current Available on External Power Source 1</t>
  </si>
  <si>
    <t>Note: Section D uses each rail's required current (including the 25% safety margin), not the regulator's maximum output-current rating. The L7805 input-current estimate is conservatively approximated by the 5 V rail load; regulator quiescent current is small relative to the available margin.</t>
  </si>
  <si>
    <t>External Power Source 2 (Not Used)</t>
  </si>
  <si>
    <t>Power Source 2 Selection</t>
  </si>
  <si>
    <t>Power Rails Connected to External Power Source 2</t>
  </si>
  <si>
    <t>Total Remaining Current Available on External Power Source 2</t>
  </si>
  <si>
    <t>Calculated Battery Life (Not Applicable)</t>
  </si>
  <si>
    <t>Capacity (mAh)</t>
  </si>
  <si>
    <t>Required By Regulators</t>
  </si>
  <si>
    <t>No Battery Used</t>
  </si>
  <si>
    <t>Battery Life</t>
  </si>
  <si>
    <t>hours</t>
  </si>
  <si>
    <t>Notes:</t>
  </si>
  <si>
    <t>External Supply Voltage should be determined by the dropout voltage for highest-voltage regulator (e.g., +14V for a +12V regulator).</t>
  </si>
  <si>
    <t>If you have multiple units in your design (e.g., a base unit and remote unit) then you need a separate power budget for each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</si>
</sst>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</font>
    <font>
      <sz val="10"/>
      <name val="Arial"/>
      <charset val="1"/>
    </font>
    <font>
      <sz val="12"/>
      <color rgb="FF000000"/>
      <name val="Calibri"/>
      <charset val="1"/>
    </font>
    <font>
      <b/>
      <sz val="24"/>
      <color rgb="FF000000"/>
      <name val="Calibri"/>
      <charset val="1"/>
    </font>
    <font>
      <b/>
      <sz val="12"/>
      <color rgb="FF000000"/>
      <name val="Calibri"/>
      <charset val="1"/>
    </font>
    <font>
      <sz val="12"/>
      <name val="Calibri"/>
      <charset val="1"/>
    </font>
    <font>
      <b/>
      <i/>
      <sz val="12"/>
      <color rgb="FF000000"/>
      <name val="Calibri"/>
      <charset val="1"/>
    </font>
    <font>
      <sz val="12"/>
      <color rgb="FF0000FF"/>
      <name val="Calibri"/>
      <charset val="1"/>
    </font>
    <font>
      <i/>
      <sz val="11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theme="8" tint="0.59978026673177287"/>
        <bgColor rgb="FFCC99FF"/>
      </patternFill>
    </fill>
    <fill>
      <patternFill patternType="solid">
        <fgColor rgb="FFFFFF00"/>
        <bgColor rgb="FFFFFF00"/>
      </patternFill>
    </fill>
    <fill>
      <patternFill patternType="solid">
        <fgColor rgb="FFEEECE1"/>
        <bgColor rgb="FFFFFFFF"/>
      </patternFill>
    </fill>
    <fill>
      <patternFill patternType="solid">
        <fgColor rgb="FFFFFFFF"/>
        <bgColor rgb="FFEEECE1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5">
    <xf numFmtId="0" fontId="0" fillId="0" borderId="0" xfId="0"/>
    <xf numFmtId="0" fontId="2" fillId="5" borderId="11" xfId="2" applyFill="1" applyBorder="1" applyAlignment="1">
      <alignment horizontal="left" vertical="center" wrapText="1"/>
    </xf>
    <xf numFmtId="0" fontId="2" fillId="0" borderId="10" xfId="2" applyBorder="1" applyAlignment="1">
      <alignment horizontal="left" vertical="center" wrapText="1"/>
    </xf>
    <xf numFmtId="0" fontId="6" fillId="3" borderId="7" xfId="2" applyFont="1" applyFill="1" applyBorder="1" applyAlignment="1">
      <alignment horizontal="left" vertical="center" wrapText="1"/>
    </xf>
    <xf numFmtId="0" fontId="6" fillId="3" borderId="3" xfId="2" applyFont="1" applyFill="1" applyBorder="1" applyAlignment="1">
      <alignment horizontal="left" vertical="center" wrapText="1"/>
    </xf>
    <xf numFmtId="0" fontId="8" fillId="0" borderId="0" xfId="1" applyFont="1" applyAlignment="1">
      <alignment horizontal="left" vertical="center" wrapText="1"/>
    </xf>
    <xf numFmtId="0" fontId="4" fillId="0" borderId="1" xfId="2" applyFont="1" applyBorder="1" applyAlignment="1">
      <alignment horizontal="left" vertical="center" wrapText="1"/>
    </xf>
    <xf numFmtId="49" fontId="6" fillId="0" borderId="1" xfId="2" applyNumberFormat="1" applyFont="1" applyBorder="1" applyAlignment="1">
      <alignment horizontal="right" vertical="center" wrapText="1"/>
    </xf>
    <xf numFmtId="0" fontId="6" fillId="0" borderId="1" xfId="2" applyFont="1" applyBorder="1" applyAlignment="1">
      <alignment horizontal="right" vertical="center" wrapText="1"/>
    </xf>
    <xf numFmtId="0" fontId="6" fillId="3" borderId="1" xfId="2" applyFont="1" applyFill="1" applyBorder="1" applyAlignment="1">
      <alignment horizontal="left" vertical="center" wrapText="1"/>
    </xf>
    <xf numFmtId="0" fontId="3" fillId="2" borderId="0" xfId="2" applyFont="1" applyFill="1" applyAlignment="1">
      <alignment horizontal="center" vertical="center"/>
    </xf>
    <xf numFmtId="0" fontId="2" fillId="0" borderId="0" xfId="2"/>
    <xf numFmtId="0" fontId="2" fillId="0" borderId="0" xfId="2" applyAlignment="1">
      <alignment horizontal="center"/>
    </xf>
    <xf numFmtId="0" fontId="4" fillId="0" borderId="0" xfId="2" applyFont="1" applyAlignment="1">
      <alignment horizontal="right" vertical="center" wrapText="1"/>
    </xf>
    <xf numFmtId="0" fontId="5" fillId="0" borderId="0" xfId="2" applyFont="1" applyAlignment="1">
      <alignment horizontal="left" vertical="center" wrapText="1"/>
    </xf>
    <xf numFmtId="0" fontId="2" fillId="0" borderId="0" xfId="2" applyAlignment="1">
      <alignment vertical="center" wrapText="1"/>
    </xf>
    <xf numFmtId="0" fontId="4" fillId="0" borderId="0" xfId="2" applyFont="1" applyAlignment="1">
      <alignment horizontal="center" vertical="center" wrapText="1"/>
    </xf>
    <xf numFmtId="0" fontId="4" fillId="0" borderId="0" xfId="2" applyFont="1" applyAlignment="1">
      <alignment horizontal="left" vertical="center" wrapText="1"/>
    </xf>
    <xf numFmtId="0" fontId="4" fillId="0" borderId="0" xfId="2" applyFont="1" applyAlignment="1">
      <alignment vertical="center" wrapText="1"/>
    </xf>
    <xf numFmtId="0" fontId="4" fillId="4" borderId="1" xfId="2" applyFont="1" applyFill="1" applyBorder="1" applyAlignment="1">
      <alignment horizontal="center" vertical="center" wrapText="1"/>
    </xf>
    <xf numFmtId="0" fontId="2" fillId="0" borderId="1" xfId="2" applyBorder="1" applyAlignment="1">
      <alignment horizontal="left" vertical="center" wrapText="1"/>
    </xf>
    <xf numFmtId="0" fontId="2" fillId="0" borderId="1" xfId="2" applyBorder="1" applyAlignment="1">
      <alignment horizontal="center" vertical="center" wrapText="1"/>
    </xf>
    <xf numFmtId="1" fontId="2" fillId="0" borderId="1" xfId="2" applyNumberFormat="1" applyBorder="1" applyAlignment="1">
      <alignment horizontal="center" vertical="center" wrapText="1"/>
    </xf>
    <xf numFmtId="4" fontId="2" fillId="0" borderId="1" xfId="2" applyNumberFormat="1" applyBorder="1" applyAlignment="1">
      <alignment horizontal="center" vertical="center" wrapText="1"/>
    </xf>
    <xf numFmtId="0" fontId="6" fillId="4" borderId="1" xfId="2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right" vertical="center" wrapText="1"/>
    </xf>
    <xf numFmtId="9" fontId="7" fillId="0" borderId="1" xfId="2" applyNumberFormat="1" applyFont="1" applyBorder="1" applyAlignment="1">
      <alignment horizontal="center" vertical="center" wrapText="1"/>
    </xf>
    <xf numFmtId="9" fontId="2" fillId="0" borderId="1" xfId="2" applyNumberFormat="1" applyBorder="1" applyAlignment="1">
      <alignment horizontal="center" vertical="center" wrapText="1"/>
    </xf>
    <xf numFmtId="0" fontId="6" fillId="0" borderId="0" xfId="2" applyFont="1" applyAlignment="1">
      <alignment vertical="center" wrapText="1"/>
    </xf>
    <xf numFmtId="0" fontId="6" fillId="0" borderId="0" xfId="2" applyFont="1" applyAlignment="1">
      <alignment horizontal="left" vertical="center" wrapText="1"/>
    </xf>
    <xf numFmtId="0" fontId="2" fillId="0" borderId="0" xfId="2" applyAlignment="1">
      <alignment horizontal="left" vertical="center" wrapText="1"/>
    </xf>
    <xf numFmtId="0" fontId="2" fillId="0" borderId="0" xfId="2" applyAlignment="1">
      <alignment horizontal="center" vertical="center" wrapText="1"/>
    </xf>
    <xf numFmtId="0" fontId="6" fillId="0" borderId="1" xfId="2" applyFont="1" applyBorder="1" applyAlignment="1">
      <alignment horizontal="left" vertical="center" wrapText="1"/>
    </xf>
    <xf numFmtId="49" fontId="6" fillId="0" borderId="0" xfId="2" applyNumberFormat="1" applyFont="1" applyAlignment="1">
      <alignment horizontal="right" vertical="center" wrapText="1"/>
    </xf>
    <xf numFmtId="0" fontId="5" fillId="0" borderId="0" xfId="2" applyFont="1" applyAlignment="1">
      <alignment vertical="center" wrapText="1"/>
    </xf>
    <xf numFmtId="0" fontId="6" fillId="0" borderId="0" xfId="2" applyFont="1" applyAlignment="1">
      <alignment horizontal="center" vertical="center" wrapText="1"/>
    </xf>
    <xf numFmtId="0" fontId="4" fillId="0" borderId="1" xfId="2" applyFont="1" applyBorder="1" applyAlignment="1">
      <alignment horizontal="left" vertical="center" wrapText="1"/>
    </xf>
    <xf numFmtId="0" fontId="4" fillId="0" borderId="2" xfId="2" applyFont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 wrapText="1"/>
    </xf>
    <xf numFmtId="0" fontId="2" fillId="0" borderId="2" xfId="2" applyBorder="1" applyAlignment="1">
      <alignment vertical="center" wrapText="1"/>
    </xf>
    <xf numFmtId="0" fontId="2" fillId="0" borderId="6" xfId="2" applyBorder="1" applyAlignment="1">
      <alignment vertical="center" wrapText="1"/>
    </xf>
    <xf numFmtId="0" fontId="2" fillId="0" borderId="6" xfId="2" applyBorder="1" applyAlignment="1">
      <alignment horizontal="center" vertical="center" wrapText="1"/>
    </xf>
    <xf numFmtId="0" fontId="2" fillId="3" borderId="8" xfId="2" applyFill="1" applyBorder="1" applyAlignment="1">
      <alignment horizontal="center" vertical="center" wrapText="1"/>
    </xf>
    <xf numFmtId="0" fontId="2" fillId="3" borderId="9" xfId="2" applyFill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7000000}"/>
    <cellStyle name="Normal 3" xfId="1" xr:uid="{00000000-0005-0000-0000-000006000000}"/>
  </cellStyles>
  <dxfs count="1">
    <dxf>
      <font>
        <color rgb="FF000000"/>
      </font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59EDD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1"/>
  <sheetViews>
    <sheetView tabSelected="1" zoomScaleNormal="100" workbookViewId="0">
      <selection activeCell="B4" sqref="B4"/>
    </sheetView>
  </sheetViews>
  <sheetFormatPr defaultColWidth="4.33203125" defaultRowHeight="15.6" x14ac:dyDescent="0.6"/>
  <cols>
    <col min="1" max="1" width="32" style="11" customWidth="1"/>
    <col min="2" max="2" width="46" style="11" customWidth="1"/>
    <col min="3" max="4" width="28" style="11" customWidth="1"/>
    <col min="5" max="5" width="14" style="11" customWidth="1"/>
    <col min="6" max="6" width="24" style="12" customWidth="1"/>
    <col min="7" max="7" width="20" style="12" customWidth="1"/>
    <col min="8" max="8" width="10" style="12" customWidth="1"/>
    <col min="9" max="16384" width="4.33203125" style="11"/>
  </cols>
  <sheetData>
    <row r="1" spans="1:8" ht="36" customHeight="1" x14ac:dyDescent="0.6">
      <c r="A1" s="10" t="s">
        <v>0</v>
      </c>
      <c r="B1" s="10"/>
      <c r="C1" s="10"/>
      <c r="D1" s="10"/>
      <c r="E1" s="10"/>
      <c r="F1" s="10"/>
      <c r="G1" s="10"/>
      <c r="H1" s="10"/>
    </row>
    <row r="2" spans="1:8" ht="19.5" customHeight="1" x14ac:dyDescent="0.6">
      <c r="A2" s="13" t="s">
        <v>1</v>
      </c>
      <c r="B2" s="14">
        <v>209</v>
      </c>
      <c r="C2" s="15"/>
      <c r="D2" s="16"/>
      <c r="E2" s="16"/>
      <c r="F2" s="15"/>
      <c r="G2" s="15"/>
      <c r="H2" s="15"/>
    </row>
    <row r="3" spans="1:8" ht="19.5" customHeight="1" x14ac:dyDescent="0.6">
      <c r="A3" s="13" t="s">
        <v>2</v>
      </c>
      <c r="B3" s="17" t="s">
        <v>3</v>
      </c>
      <c r="C3" s="18"/>
      <c r="D3" s="16"/>
      <c r="E3" s="16"/>
      <c r="F3" s="16"/>
      <c r="G3" s="16"/>
      <c r="H3" s="16"/>
    </row>
    <row r="4" spans="1:8" ht="19.5" customHeight="1" x14ac:dyDescent="0.6">
      <c r="A4" s="13" t="s">
        <v>4</v>
      </c>
      <c r="B4" s="17" t="s">
        <v>5</v>
      </c>
      <c r="C4" s="18"/>
      <c r="D4" s="16"/>
      <c r="E4" s="16"/>
      <c r="F4" s="16"/>
      <c r="G4" s="16"/>
      <c r="H4" s="16"/>
    </row>
    <row r="5" spans="1:8" ht="19.5" customHeight="1" x14ac:dyDescent="0.6">
      <c r="A5" s="13" t="s">
        <v>6</v>
      </c>
      <c r="B5" s="17">
        <v>1</v>
      </c>
      <c r="C5" s="18"/>
      <c r="D5" s="16"/>
      <c r="E5" s="16"/>
      <c r="F5" s="16"/>
      <c r="G5" s="16"/>
      <c r="H5" s="16"/>
    </row>
    <row r="6" spans="1:8" ht="13.5" customHeight="1" x14ac:dyDescent="0.6">
      <c r="A6" s="18"/>
      <c r="B6" s="18"/>
      <c r="C6" s="18"/>
      <c r="D6" s="16"/>
      <c r="E6" s="16"/>
      <c r="F6" s="16"/>
      <c r="G6" s="16"/>
      <c r="H6" s="16"/>
    </row>
    <row r="7" spans="1:8" ht="39.75" hidden="1" customHeight="1" x14ac:dyDescent="0.6">
      <c r="A7" s="9" t="s">
        <v>7</v>
      </c>
      <c r="B7" s="9"/>
      <c r="C7" s="9"/>
      <c r="D7" s="9"/>
      <c r="E7" s="9"/>
      <c r="F7" s="9"/>
      <c r="G7" s="9"/>
      <c r="H7" s="9"/>
    </row>
    <row r="8" spans="1:8" ht="39.75" customHeight="1" x14ac:dyDescent="0.6">
      <c r="A8" s="19" t="s">
        <v>8</v>
      </c>
      <c r="B8" s="19" t="s">
        <v>9</v>
      </c>
      <c r="C8" s="19" t="s">
        <v>10</v>
      </c>
      <c r="D8" s="19" t="s">
        <v>11</v>
      </c>
      <c r="E8" s="19" t="s">
        <v>12</v>
      </c>
      <c r="F8" s="19" t="s">
        <v>13</v>
      </c>
      <c r="G8" s="19" t="s">
        <v>14</v>
      </c>
      <c r="H8" s="19" t="s">
        <v>15</v>
      </c>
    </row>
    <row r="9" spans="1:8" ht="21.75" customHeight="1" x14ac:dyDescent="0.6">
      <c r="A9" s="20"/>
      <c r="B9" s="20" t="s">
        <v>16</v>
      </c>
      <c r="C9" s="20" t="s">
        <v>17</v>
      </c>
      <c r="D9" s="21" t="s">
        <v>18</v>
      </c>
      <c r="E9" s="22">
        <v>1</v>
      </c>
      <c r="F9" s="23">
        <v>2190</v>
      </c>
      <c r="G9" s="23">
        <f t="shared" ref="G9:G14" si="0">E9*F9</f>
        <v>2190</v>
      </c>
      <c r="H9" s="21" t="s">
        <v>19</v>
      </c>
    </row>
    <row r="10" spans="1:8" ht="21.75" customHeight="1" x14ac:dyDescent="0.6">
      <c r="A10" s="20"/>
      <c r="B10" s="20" t="s">
        <v>20</v>
      </c>
      <c r="C10" s="20" t="s">
        <v>21</v>
      </c>
      <c r="D10" s="21" t="s">
        <v>22</v>
      </c>
      <c r="E10" s="22">
        <v>1</v>
      </c>
      <c r="F10" s="23">
        <v>7</v>
      </c>
      <c r="G10" s="23">
        <f t="shared" si="0"/>
        <v>7</v>
      </c>
      <c r="H10" s="21" t="s">
        <v>19</v>
      </c>
    </row>
    <row r="11" spans="1:8" ht="21.75" customHeight="1" x14ac:dyDescent="0.6">
      <c r="A11" s="20"/>
      <c r="B11" s="20" t="s">
        <v>23</v>
      </c>
      <c r="C11" s="20" t="s">
        <v>24</v>
      </c>
      <c r="D11" s="21" t="s">
        <v>25</v>
      </c>
      <c r="E11" s="22">
        <v>1</v>
      </c>
      <c r="F11" s="23">
        <v>100</v>
      </c>
      <c r="G11" s="23">
        <f t="shared" si="0"/>
        <v>100</v>
      </c>
      <c r="H11" s="21" t="s">
        <v>19</v>
      </c>
    </row>
    <row r="12" spans="1:8" ht="21.75" customHeight="1" x14ac:dyDescent="0.6">
      <c r="A12" s="20"/>
      <c r="B12" s="20" t="s">
        <v>26</v>
      </c>
      <c r="C12" s="20" t="s">
        <v>27</v>
      </c>
      <c r="D12" s="21" t="s">
        <v>28</v>
      </c>
      <c r="E12" s="22">
        <v>1</v>
      </c>
      <c r="F12" s="23">
        <v>0.68</v>
      </c>
      <c r="G12" s="23">
        <f t="shared" si="0"/>
        <v>0.68</v>
      </c>
      <c r="H12" s="21" t="s">
        <v>19</v>
      </c>
    </row>
    <row r="13" spans="1:8" ht="21.75" customHeight="1" x14ac:dyDescent="0.6">
      <c r="A13" s="20"/>
      <c r="B13" s="20" t="s">
        <v>29</v>
      </c>
      <c r="C13" s="20" t="s">
        <v>30</v>
      </c>
      <c r="D13" s="21" t="s">
        <v>31</v>
      </c>
      <c r="E13" s="22">
        <v>1</v>
      </c>
      <c r="F13" s="23">
        <v>50</v>
      </c>
      <c r="G13" s="23">
        <f t="shared" si="0"/>
        <v>50</v>
      </c>
      <c r="H13" s="21" t="s">
        <v>19</v>
      </c>
    </row>
    <row r="14" spans="1:8" ht="21.75" customHeight="1" x14ac:dyDescent="0.6">
      <c r="A14" s="20"/>
      <c r="B14" s="20" t="s">
        <v>32</v>
      </c>
      <c r="C14" s="20" t="s">
        <v>32</v>
      </c>
      <c r="D14" s="21" t="s">
        <v>32</v>
      </c>
      <c r="E14" s="22">
        <v>0</v>
      </c>
      <c r="F14" s="23">
        <v>0</v>
      </c>
      <c r="G14" s="23">
        <f t="shared" si="0"/>
        <v>0</v>
      </c>
      <c r="H14" s="21" t="s">
        <v>19</v>
      </c>
    </row>
    <row r="15" spans="1:8" ht="13.5" customHeight="1" x14ac:dyDescent="0.6">
      <c r="A15" s="18"/>
      <c r="B15" s="18"/>
      <c r="C15" s="18"/>
      <c r="D15" s="16"/>
      <c r="E15" s="16"/>
      <c r="F15" s="16"/>
      <c r="G15" s="16"/>
      <c r="H15" s="16"/>
    </row>
    <row r="16" spans="1:8" ht="39.75" customHeight="1" x14ac:dyDescent="0.6">
      <c r="A16" s="24" t="s">
        <v>33</v>
      </c>
      <c r="B16" s="19" t="s">
        <v>9</v>
      </c>
      <c r="C16" s="19" t="s">
        <v>10</v>
      </c>
      <c r="D16" s="19" t="s">
        <v>11</v>
      </c>
      <c r="E16" s="19" t="s">
        <v>12</v>
      </c>
      <c r="F16" s="19" t="s">
        <v>13</v>
      </c>
      <c r="G16" s="19" t="s">
        <v>14</v>
      </c>
      <c r="H16" s="19" t="s">
        <v>15</v>
      </c>
    </row>
    <row r="17" spans="1:8" ht="21.75" customHeight="1" x14ac:dyDescent="0.6">
      <c r="A17" s="20"/>
      <c r="B17" s="20" t="s">
        <v>16</v>
      </c>
      <c r="C17" s="20" t="s">
        <v>17</v>
      </c>
      <c r="D17" s="21" t="s">
        <v>18</v>
      </c>
      <c r="E17" s="22">
        <v>1</v>
      </c>
      <c r="F17" s="23">
        <v>2190</v>
      </c>
      <c r="G17" s="23">
        <v>2190</v>
      </c>
      <c r="H17" s="21" t="s">
        <v>19</v>
      </c>
    </row>
    <row r="18" spans="1:8" ht="21.75" customHeight="1" x14ac:dyDescent="0.6">
      <c r="A18" s="20"/>
      <c r="B18" s="20" t="s">
        <v>20</v>
      </c>
      <c r="C18" s="20" t="s">
        <v>21</v>
      </c>
      <c r="D18" s="21" t="s">
        <v>22</v>
      </c>
      <c r="E18" s="22">
        <v>1</v>
      </c>
      <c r="F18" s="23">
        <v>7</v>
      </c>
      <c r="G18" s="23">
        <f>E18*F18</f>
        <v>7</v>
      </c>
      <c r="H18" s="21" t="s">
        <v>19</v>
      </c>
    </row>
    <row r="19" spans="1:8" ht="21.75" customHeight="1" x14ac:dyDescent="0.6">
      <c r="A19" s="20"/>
      <c r="B19" s="20"/>
      <c r="C19" s="20"/>
      <c r="D19" s="21"/>
      <c r="E19" s="21"/>
      <c r="F19" s="21"/>
      <c r="G19" s="23">
        <f>E19*F19</f>
        <v>0</v>
      </c>
      <c r="H19" s="21" t="s">
        <v>19</v>
      </c>
    </row>
    <row r="20" spans="1:8" ht="21.75" customHeight="1" x14ac:dyDescent="0.6">
      <c r="A20" s="15"/>
      <c r="B20" s="15"/>
      <c r="C20" s="15"/>
      <c r="D20" s="8" t="s">
        <v>34</v>
      </c>
      <c r="E20" s="8"/>
      <c r="F20" s="8"/>
      <c r="G20" s="23">
        <f>SUM(G17:G19)</f>
        <v>2197</v>
      </c>
      <c r="H20" s="21" t="s">
        <v>19</v>
      </c>
    </row>
    <row r="21" spans="1:8" ht="21.75" customHeight="1" x14ac:dyDescent="0.6">
      <c r="A21" s="15"/>
      <c r="B21" s="15"/>
      <c r="C21" s="15"/>
      <c r="D21" s="8" t="s">
        <v>35</v>
      </c>
      <c r="E21" s="8"/>
      <c r="F21" s="8"/>
      <c r="G21" s="26">
        <v>0.25</v>
      </c>
      <c r="H21" s="27"/>
    </row>
    <row r="22" spans="1:8" ht="21.75" customHeight="1" x14ac:dyDescent="0.6">
      <c r="A22" s="28"/>
      <c r="B22" s="15"/>
      <c r="C22" s="15"/>
      <c r="D22" s="8" t="s">
        <v>36</v>
      </c>
      <c r="E22" s="8"/>
      <c r="F22" s="8"/>
      <c r="G22" s="23">
        <f>G20*(1+G21)</f>
        <v>2746.25</v>
      </c>
      <c r="H22" s="21" t="s">
        <v>19</v>
      </c>
    </row>
    <row r="23" spans="1:8" ht="13.5" customHeight="1" x14ac:dyDescent="0.6">
      <c r="A23" s="29"/>
      <c r="B23" s="30"/>
      <c r="C23" s="30"/>
      <c r="D23" s="31"/>
      <c r="E23" s="31"/>
      <c r="F23" s="15"/>
      <c r="G23" s="31"/>
      <c r="H23" s="31"/>
    </row>
    <row r="24" spans="1:8" ht="21.75" customHeight="1" x14ac:dyDescent="0.6">
      <c r="A24" s="32" t="s">
        <v>37</v>
      </c>
      <c r="B24" s="20" t="s">
        <v>38</v>
      </c>
      <c r="C24" s="20" t="s">
        <v>39</v>
      </c>
      <c r="D24" s="21" t="s">
        <v>40</v>
      </c>
      <c r="E24" s="22">
        <v>1</v>
      </c>
      <c r="F24" s="23">
        <v>5000</v>
      </c>
      <c r="G24" s="23">
        <f>E24*F24</f>
        <v>5000</v>
      </c>
      <c r="H24" s="21" t="s">
        <v>19</v>
      </c>
    </row>
    <row r="25" spans="1:8" ht="21.75" customHeight="1" x14ac:dyDescent="0.6">
      <c r="A25" s="29"/>
      <c r="B25" s="7" t="s">
        <v>41</v>
      </c>
      <c r="C25" s="7"/>
      <c r="D25" s="7"/>
      <c r="E25" s="7"/>
      <c r="F25" s="7"/>
      <c r="G25" s="23">
        <f>G24-G22</f>
        <v>2253.75</v>
      </c>
      <c r="H25" s="21" t="s">
        <v>19</v>
      </c>
    </row>
    <row r="26" spans="1:8" ht="13.5" customHeight="1" x14ac:dyDescent="0.6">
      <c r="A26" s="29"/>
      <c r="B26" s="33"/>
      <c r="C26" s="34"/>
      <c r="D26" s="34"/>
      <c r="E26" s="34"/>
      <c r="F26" s="34"/>
      <c r="G26" s="31"/>
      <c r="H26" s="31"/>
    </row>
    <row r="27" spans="1:8" ht="39.75" customHeight="1" x14ac:dyDescent="0.6">
      <c r="A27" s="24" t="s">
        <v>42</v>
      </c>
      <c r="B27" s="19" t="s">
        <v>9</v>
      </c>
      <c r="C27" s="19" t="s">
        <v>10</v>
      </c>
      <c r="D27" s="19" t="s">
        <v>11</v>
      </c>
      <c r="E27" s="19" t="s">
        <v>12</v>
      </c>
      <c r="F27" s="19" t="s">
        <v>13</v>
      </c>
      <c r="G27" s="19" t="s">
        <v>14</v>
      </c>
      <c r="H27" s="19" t="s">
        <v>15</v>
      </c>
    </row>
    <row r="28" spans="1:8" ht="21.75" customHeight="1" x14ac:dyDescent="0.6">
      <c r="A28" s="20"/>
      <c r="B28" s="20" t="s">
        <v>23</v>
      </c>
      <c r="C28" s="20" t="s">
        <v>24</v>
      </c>
      <c r="D28" s="21" t="s">
        <v>25</v>
      </c>
      <c r="E28" s="22">
        <v>1</v>
      </c>
      <c r="F28" s="23">
        <v>100</v>
      </c>
      <c r="G28" s="23">
        <f>E28*F28</f>
        <v>100</v>
      </c>
      <c r="H28" s="21" t="s">
        <v>19</v>
      </c>
    </row>
    <row r="29" spans="1:8" ht="21.75" customHeight="1" x14ac:dyDescent="0.6">
      <c r="A29" s="20"/>
      <c r="B29" s="20" t="s">
        <v>26</v>
      </c>
      <c r="C29" s="20" t="s">
        <v>27</v>
      </c>
      <c r="D29" s="21" t="s">
        <v>28</v>
      </c>
      <c r="E29" s="22">
        <v>1</v>
      </c>
      <c r="F29" s="23">
        <v>0.68</v>
      </c>
      <c r="G29" s="23">
        <f>E29*F29</f>
        <v>0.68</v>
      </c>
      <c r="H29" s="21" t="s">
        <v>19</v>
      </c>
    </row>
    <row r="30" spans="1:8" ht="21.75" customHeight="1" x14ac:dyDescent="0.6">
      <c r="A30" s="20"/>
      <c r="B30" s="20" t="s">
        <v>43</v>
      </c>
      <c r="C30" s="20" t="s">
        <v>30</v>
      </c>
      <c r="D30" s="21" t="s">
        <v>31</v>
      </c>
      <c r="E30" s="22">
        <v>1</v>
      </c>
      <c r="F30" s="23">
        <v>50</v>
      </c>
      <c r="G30" s="23">
        <f>E30*F30</f>
        <v>50</v>
      </c>
      <c r="H30" s="21" t="s">
        <v>19</v>
      </c>
    </row>
    <row r="31" spans="1:8" ht="21.75" customHeight="1" x14ac:dyDescent="0.6">
      <c r="A31" s="15"/>
      <c r="B31" s="15"/>
      <c r="C31" s="15"/>
      <c r="D31" s="8" t="s">
        <v>34</v>
      </c>
      <c r="E31" s="8"/>
      <c r="F31" s="8"/>
      <c r="G31" s="23">
        <f>SUM(G28:G30)</f>
        <v>150.68</v>
      </c>
      <c r="H31" s="21" t="s">
        <v>19</v>
      </c>
    </row>
    <row r="32" spans="1:8" ht="21.75" customHeight="1" x14ac:dyDescent="0.6">
      <c r="A32" s="15"/>
      <c r="B32" s="15"/>
      <c r="C32" s="15"/>
      <c r="D32" s="8" t="s">
        <v>35</v>
      </c>
      <c r="E32" s="8"/>
      <c r="F32" s="8"/>
      <c r="G32" s="26">
        <v>0.25</v>
      </c>
      <c r="H32" s="27"/>
    </row>
    <row r="33" spans="1:8" ht="21.75" customHeight="1" x14ac:dyDescent="0.6">
      <c r="A33" s="28"/>
      <c r="B33" s="15"/>
      <c r="C33" s="15"/>
      <c r="D33" s="8" t="s">
        <v>44</v>
      </c>
      <c r="E33" s="8"/>
      <c r="F33" s="8"/>
      <c r="G33" s="23">
        <f>G31*(1+G32)</f>
        <v>188.35000000000002</v>
      </c>
      <c r="H33" s="21" t="s">
        <v>19</v>
      </c>
    </row>
    <row r="34" spans="1:8" ht="13.5" customHeight="1" x14ac:dyDescent="0.6">
      <c r="A34" s="29"/>
      <c r="B34" s="30"/>
      <c r="C34" s="30"/>
      <c r="D34" s="31"/>
      <c r="E34" s="31"/>
      <c r="F34" s="31"/>
      <c r="G34" s="31"/>
      <c r="H34" s="31"/>
    </row>
    <row r="35" spans="1:8" ht="21.75" customHeight="1" x14ac:dyDescent="0.6">
      <c r="A35" s="32" t="s">
        <v>45</v>
      </c>
      <c r="B35" s="20" t="s">
        <v>46</v>
      </c>
      <c r="C35" s="20" t="s">
        <v>47</v>
      </c>
      <c r="D35" s="21" t="s">
        <v>48</v>
      </c>
      <c r="E35" s="22">
        <v>1</v>
      </c>
      <c r="F35" s="23">
        <v>1500</v>
      </c>
      <c r="G35" s="23">
        <f>E35*F35</f>
        <v>1500</v>
      </c>
      <c r="H35" s="21" t="s">
        <v>19</v>
      </c>
    </row>
    <row r="36" spans="1:8" ht="21.75" customHeight="1" x14ac:dyDescent="0.6">
      <c r="A36" s="29"/>
      <c r="B36" s="7" t="s">
        <v>49</v>
      </c>
      <c r="C36" s="7"/>
      <c r="D36" s="7"/>
      <c r="E36" s="7"/>
      <c r="F36" s="7"/>
      <c r="G36" s="23">
        <f>G35-G33</f>
        <v>1311.65</v>
      </c>
      <c r="H36" s="21" t="s">
        <v>19</v>
      </c>
    </row>
    <row r="37" spans="1:8" ht="13.5" customHeight="1" x14ac:dyDescent="0.6">
      <c r="A37" s="29"/>
      <c r="B37" s="33"/>
      <c r="C37" s="34"/>
      <c r="D37" s="34"/>
      <c r="E37" s="34"/>
      <c r="F37" s="34"/>
      <c r="G37" s="31"/>
      <c r="H37" s="31"/>
    </row>
    <row r="38" spans="1:8" ht="39.75" customHeight="1" x14ac:dyDescent="0.6">
      <c r="A38" s="24" t="s">
        <v>50</v>
      </c>
      <c r="B38" s="19" t="s">
        <v>9</v>
      </c>
      <c r="C38" s="19" t="s">
        <v>10</v>
      </c>
      <c r="D38" s="19" t="s">
        <v>11</v>
      </c>
      <c r="E38" s="19" t="s">
        <v>12</v>
      </c>
      <c r="F38" s="19" t="s">
        <v>13</v>
      </c>
      <c r="G38" s="19" t="s">
        <v>14</v>
      </c>
      <c r="H38" s="19" t="s">
        <v>15</v>
      </c>
    </row>
    <row r="39" spans="1:8" ht="21.75" customHeight="1" x14ac:dyDescent="0.6">
      <c r="A39" s="20"/>
      <c r="B39" s="20"/>
      <c r="C39" s="20"/>
      <c r="D39" s="21"/>
      <c r="E39" s="21"/>
      <c r="F39" s="21"/>
      <c r="G39" s="23">
        <f>E39*F39</f>
        <v>0</v>
      </c>
      <c r="H39" s="21" t="s">
        <v>19</v>
      </c>
    </row>
    <row r="40" spans="1:8" ht="21.75" customHeight="1" x14ac:dyDescent="0.6">
      <c r="A40" s="20"/>
      <c r="B40" s="20"/>
      <c r="C40" s="20"/>
      <c r="D40" s="21"/>
      <c r="E40" s="21"/>
      <c r="F40" s="21"/>
      <c r="G40" s="23">
        <f>E40*F40</f>
        <v>0</v>
      </c>
      <c r="H40" s="21" t="s">
        <v>19</v>
      </c>
    </row>
    <row r="41" spans="1:8" ht="21.75" customHeight="1" x14ac:dyDescent="0.6">
      <c r="A41" s="15"/>
      <c r="B41" s="15"/>
      <c r="C41" s="15"/>
      <c r="D41" s="8" t="s">
        <v>34</v>
      </c>
      <c r="E41" s="8"/>
      <c r="F41" s="8"/>
      <c r="G41" s="23">
        <f>SUM(G39:G40)</f>
        <v>0</v>
      </c>
      <c r="H41" s="21" t="s">
        <v>19</v>
      </c>
    </row>
    <row r="42" spans="1:8" ht="21.75" customHeight="1" x14ac:dyDescent="0.6">
      <c r="A42" s="15"/>
      <c r="B42" s="15"/>
      <c r="C42" s="15"/>
      <c r="D42" s="8" t="s">
        <v>35</v>
      </c>
      <c r="E42" s="8"/>
      <c r="F42" s="8"/>
      <c r="G42" s="26">
        <v>0.25</v>
      </c>
      <c r="H42" s="27"/>
    </row>
    <row r="43" spans="1:8" ht="21.75" customHeight="1" x14ac:dyDescent="0.6">
      <c r="A43" s="15"/>
      <c r="B43" s="15"/>
      <c r="C43" s="15"/>
      <c r="D43" s="8" t="s">
        <v>51</v>
      </c>
      <c r="E43" s="8"/>
      <c r="F43" s="8"/>
      <c r="G43" s="23">
        <f>G41*(1+G42)</f>
        <v>0</v>
      </c>
      <c r="H43" s="21" t="s">
        <v>19</v>
      </c>
    </row>
    <row r="44" spans="1:8" ht="13.5" customHeight="1" x14ac:dyDescent="0.6">
      <c r="A44" s="29"/>
      <c r="B44" s="15"/>
      <c r="C44" s="15"/>
      <c r="D44" s="31"/>
      <c r="E44" s="31"/>
      <c r="F44" s="15"/>
      <c r="G44" s="31"/>
      <c r="H44" s="16"/>
    </row>
    <row r="45" spans="1:8" ht="21.75" customHeight="1" x14ac:dyDescent="0.6">
      <c r="A45" s="32" t="s">
        <v>45</v>
      </c>
      <c r="B45" s="20" t="s">
        <v>52</v>
      </c>
      <c r="C45" s="20" t="s">
        <v>32</v>
      </c>
      <c r="D45" s="21" t="s">
        <v>32</v>
      </c>
      <c r="E45" s="22">
        <v>1</v>
      </c>
      <c r="F45" s="23">
        <v>0</v>
      </c>
      <c r="G45" s="23">
        <f>E45*F45</f>
        <v>0</v>
      </c>
      <c r="H45" s="21" t="s">
        <v>19</v>
      </c>
    </row>
    <row r="46" spans="1:8" ht="21.75" customHeight="1" x14ac:dyDescent="0.6">
      <c r="A46" s="15"/>
      <c r="B46" s="7" t="s">
        <v>53</v>
      </c>
      <c r="C46" s="7"/>
      <c r="D46" s="7"/>
      <c r="E46" s="7"/>
      <c r="F46" s="7"/>
      <c r="G46" s="23">
        <f>G45-G43</f>
        <v>0</v>
      </c>
      <c r="H46" s="21" t="s">
        <v>19</v>
      </c>
    </row>
    <row r="47" spans="1:8" ht="13.5" customHeight="1" x14ac:dyDescent="0.6">
      <c r="A47" s="28"/>
      <c r="B47" s="28"/>
      <c r="C47" s="28"/>
      <c r="D47" s="28"/>
      <c r="E47" s="28"/>
      <c r="F47" s="35"/>
      <c r="G47" s="35"/>
      <c r="H47" s="35"/>
    </row>
    <row r="48" spans="1:8" ht="39.75" customHeight="1" x14ac:dyDescent="0.6">
      <c r="A48" s="24" t="s">
        <v>54</v>
      </c>
      <c r="B48" s="19" t="s">
        <v>9</v>
      </c>
      <c r="C48" s="19" t="s">
        <v>10</v>
      </c>
      <c r="D48" s="19" t="s">
        <v>11</v>
      </c>
      <c r="E48" s="19" t="s">
        <v>55</v>
      </c>
      <c r="F48" s="19" t="s">
        <v>13</v>
      </c>
      <c r="G48" s="19" t="s">
        <v>14</v>
      </c>
      <c r="H48" s="19" t="s">
        <v>15</v>
      </c>
    </row>
    <row r="49" spans="1:8" ht="21.75" customHeight="1" x14ac:dyDescent="0.6">
      <c r="A49" s="36" t="s">
        <v>56</v>
      </c>
      <c r="B49" s="20" t="s">
        <v>38</v>
      </c>
      <c r="C49" s="20" t="s">
        <v>39</v>
      </c>
      <c r="D49" s="21" t="s">
        <v>57</v>
      </c>
      <c r="E49" s="21" t="s">
        <v>18</v>
      </c>
      <c r="F49" s="23">
        <v>5000</v>
      </c>
      <c r="G49" s="23">
        <v>5000</v>
      </c>
      <c r="H49" s="21" t="s">
        <v>19</v>
      </c>
    </row>
    <row r="50" spans="1:8" ht="13.5" customHeight="1" x14ac:dyDescent="0.6">
      <c r="A50" s="16"/>
      <c r="B50" s="30"/>
      <c r="C50" s="30"/>
      <c r="D50" s="31"/>
      <c r="E50" s="31"/>
      <c r="F50" s="31"/>
      <c r="G50" s="31"/>
      <c r="H50" s="31"/>
    </row>
    <row r="51" spans="1:8" ht="21.75" customHeight="1" x14ac:dyDescent="0.6">
      <c r="A51" s="6" t="s">
        <v>58</v>
      </c>
      <c r="B51" s="20" t="s">
        <v>59</v>
      </c>
      <c r="C51" s="20" t="s">
        <v>60</v>
      </c>
      <c r="D51" s="21" t="s">
        <v>18</v>
      </c>
      <c r="E51" s="21" t="s">
        <v>18</v>
      </c>
      <c r="F51" s="23">
        <f>G22</f>
        <v>2746.25</v>
      </c>
      <c r="G51" s="23">
        <f>F51</f>
        <v>2746.25</v>
      </c>
      <c r="H51" s="21" t="s">
        <v>19</v>
      </c>
    </row>
    <row r="52" spans="1:8" ht="21.75" customHeight="1" x14ac:dyDescent="0.6">
      <c r="A52" s="6"/>
      <c r="B52" s="20" t="s">
        <v>46</v>
      </c>
      <c r="C52" s="20" t="s">
        <v>47</v>
      </c>
      <c r="D52" s="21" t="s">
        <v>61</v>
      </c>
      <c r="E52" s="21" t="s">
        <v>62</v>
      </c>
      <c r="F52" s="23">
        <f>G33</f>
        <v>188.35000000000002</v>
      </c>
      <c r="G52" s="23">
        <f>F52</f>
        <v>188.35000000000002</v>
      </c>
      <c r="H52" s="21" t="s">
        <v>19</v>
      </c>
    </row>
    <row r="53" spans="1:8" ht="21.75" customHeight="1" x14ac:dyDescent="0.6">
      <c r="A53" s="6"/>
      <c r="B53" s="20" t="s">
        <v>63</v>
      </c>
      <c r="C53" s="20" t="s">
        <v>32</v>
      </c>
      <c r="D53" s="21" t="s">
        <v>32</v>
      </c>
      <c r="E53" s="21" t="s">
        <v>32</v>
      </c>
      <c r="F53" s="23">
        <v>0</v>
      </c>
      <c r="G53" s="23">
        <v>0</v>
      </c>
      <c r="H53" s="21" t="s">
        <v>19</v>
      </c>
    </row>
    <row r="54" spans="1:8" ht="21.75" customHeight="1" x14ac:dyDescent="0.6">
      <c r="A54" s="7" t="s">
        <v>64</v>
      </c>
      <c r="B54" s="7"/>
      <c r="C54" s="7"/>
      <c r="D54" s="7"/>
      <c r="E54" s="7"/>
      <c r="F54" s="7"/>
      <c r="G54" s="23">
        <f>G49-SUM(G51:G53)</f>
        <v>2065.4</v>
      </c>
      <c r="H54" s="21" t="s">
        <v>19</v>
      </c>
    </row>
    <row r="55" spans="1:8" ht="49.5" customHeight="1" x14ac:dyDescent="0.6">
      <c r="A55" s="5" t="s">
        <v>65</v>
      </c>
      <c r="B55" s="5"/>
      <c r="C55" s="5"/>
      <c r="D55" s="5"/>
      <c r="E55" s="5"/>
      <c r="F55" s="5"/>
      <c r="G55" s="5"/>
      <c r="H55" s="5"/>
    </row>
    <row r="56" spans="1:8" ht="39.75" customHeight="1" x14ac:dyDescent="0.6">
      <c r="A56" s="24" t="s">
        <v>66</v>
      </c>
      <c r="B56" s="19" t="s">
        <v>9</v>
      </c>
      <c r="C56" s="19" t="s">
        <v>10</v>
      </c>
      <c r="D56" s="19" t="s">
        <v>11</v>
      </c>
      <c r="E56" s="19" t="s">
        <v>55</v>
      </c>
      <c r="F56" s="19" t="s">
        <v>13</v>
      </c>
      <c r="G56" s="19" t="s">
        <v>14</v>
      </c>
      <c r="H56" s="19" t="s">
        <v>15</v>
      </c>
    </row>
    <row r="57" spans="1:8" ht="21.75" customHeight="1" x14ac:dyDescent="0.6">
      <c r="A57" s="36" t="s">
        <v>67</v>
      </c>
      <c r="B57" s="20" t="s">
        <v>52</v>
      </c>
      <c r="C57" s="20" t="s">
        <v>32</v>
      </c>
      <c r="D57" s="21" t="s">
        <v>32</v>
      </c>
      <c r="E57" s="21" t="s">
        <v>32</v>
      </c>
      <c r="F57" s="23">
        <v>0</v>
      </c>
      <c r="G57" s="23">
        <v>0</v>
      </c>
      <c r="H57" s="21" t="s">
        <v>19</v>
      </c>
    </row>
    <row r="58" spans="1:8" ht="13.5" customHeight="1" x14ac:dyDescent="0.6">
      <c r="A58" s="16"/>
      <c r="B58" s="30"/>
      <c r="C58" s="30"/>
      <c r="D58" s="31"/>
      <c r="E58" s="31"/>
      <c r="F58" s="31"/>
      <c r="G58" s="31"/>
      <c r="H58" s="31"/>
    </row>
    <row r="59" spans="1:8" ht="21.75" customHeight="1" x14ac:dyDescent="0.6">
      <c r="A59" s="6" t="s">
        <v>68</v>
      </c>
      <c r="B59" s="20" t="s">
        <v>52</v>
      </c>
      <c r="C59" s="20" t="s">
        <v>32</v>
      </c>
      <c r="D59" s="21" t="s">
        <v>32</v>
      </c>
      <c r="E59" s="22">
        <v>1</v>
      </c>
      <c r="F59" s="23">
        <v>0</v>
      </c>
      <c r="G59" s="23">
        <f>E59*F59</f>
        <v>0</v>
      </c>
      <c r="H59" s="21" t="s">
        <v>19</v>
      </c>
    </row>
    <row r="60" spans="1:8" ht="21.75" customHeight="1" x14ac:dyDescent="0.6">
      <c r="A60" s="6"/>
      <c r="B60" s="20"/>
      <c r="C60" s="20"/>
      <c r="D60" s="21"/>
      <c r="E60" s="21"/>
      <c r="F60" s="21"/>
      <c r="G60" s="21"/>
      <c r="H60" s="21"/>
    </row>
    <row r="61" spans="1:8" ht="21.75" customHeight="1" x14ac:dyDescent="0.6">
      <c r="A61" s="6"/>
      <c r="B61" s="20"/>
      <c r="C61" s="20"/>
      <c r="D61" s="21"/>
      <c r="E61" s="21"/>
      <c r="F61" s="21"/>
      <c r="G61" s="21"/>
      <c r="H61" s="21"/>
    </row>
    <row r="62" spans="1:8" ht="21.75" customHeight="1" x14ac:dyDescent="0.6">
      <c r="A62" s="37"/>
      <c r="B62" s="7" t="s">
        <v>69</v>
      </c>
      <c r="C62" s="7"/>
      <c r="D62" s="7"/>
      <c r="E62" s="7"/>
      <c r="F62" s="7"/>
      <c r="G62" s="23">
        <f>G57-SUM(G59:G61)</f>
        <v>0</v>
      </c>
      <c r="H62" s="21" t="s">
        <v>19</v>
      </c>
    </row>
    <row r="63" spans="1:8" ht="13.5" customHeight="1" x14ac:dyDescent="0.6">
      <c r="A63" s="28"/>
      <c r="B63" s="15"/>
      <c r="C63" s="15"/>
      <c r="D63" s="34"/>
      <c r="E63" s="31"/>
      <c r="F63" s="31"/>
      <c r="G63" s="31"/>
      <c r="H63" s="31"/>
    </row>
    <row r="64" spans="1:8" ht="24" customHeight="1" x14ac:dyDescent="0.6">
      <c r="A64" s="4" t="s">
        <v>70</v>
      </c>
      <c r="B64" s="4"/>
      <c r="C64" s="4"/>
      <c r="D64" s="4"/>
      <c r="E64" s="4"/>
      <c r="F64" s="4"/>
      <c r="G64" s="38"/>
      <c r="H64" s="39"/>
    </row>
    <row r="65" spans="1:8" ht="39.75" customHeight="1" x14ac:dyDescent="0.6">
      <c r="A65" s="19"/>
      <c r="B65" s="19" t="s">
        <v>9</v>
      </c>
      <c r="C65" s="19" t="s">
        <v>10</v>
      </c>
      <c r="D65" s="19" t="s">
        <v>11</v>
      </c>
      <c r="E65" s="19"/>
      <c r="F65" s="19" t="s">
        <v>71</v>
      </c>
      <c r="G65" s="19" t="s">
        <v>72</v>
      </c>
      <c r="H65" s="19"/>
    </row>
    <row r="66" spans="1:8" ht="21.75" customHeight="1" x14ac:dyDescent="0.6">
      <c r="A66" s="20"/>
      <c r="B66" s="20" t="s">
        <v>73</v>
      </c>
      <c r="C66" s="20" t="s">
        <v>32</v>
      </c>
      <c r="D66" s="21" t="s">
        <v>32</v>
      </c>
      <c r="E66" s="21"/>
      <c r="F66" s="23">
        <v>0</v>
      </c>
      <c r="G66" s="23">
        <f>SUM(G59:G61)</f>
        <v>0</v>
      </c>
      <c r="H66" s="21"/>
    </row>
    <row r="67" spans="1:8" ht="21.75" customHeight="1" x14ac:dyDescent="0.6">
      <c r="A67" s="40"/>
      <c r="B67" s="41"/>
      <c r="C67" s="41"/>
      <c r="D67" s="42"/>
      <c r="E67" s="42"/>
      <c r="F67" s="25" t="s">
        <v>74</v>
      </c>
      <c r="G67" s="23">
        <f>IF(G66=0,0,F66/G66)</f>
        <v>0</v>
      </c>
      <c r="H67" s="21" t="s">
        <v>75</v>
      </c>
    </row>
    <row r="68" spans="1:8" ht="13.5" customHeight="1" x14ac:dyDescent="0.6">
      <c r="A68" s="15"/>
      <c r="B68" s="15"/>
      <c r="C68" s="15"/>
      <c r="D68" s="31"/>
      <c r="E68" s="31"/>
      <c r="F68" s="35"/>
      <c r="G68" s="31"/>
      <c r="H68" s="31"/>
    </row>
    <row r="69" spans="1:8" ht="24" customHeight="1" x14ac:dyDescent="0.6">
      <c r="A69" s="3" t="s">
        <v>76</v>
      </c>
      <c r="B69" s="3"/>
      <c r="C69" s="3"/>
      <c r="D69" s="3"/>
      <c r="E69" s="3"/>
      <c r="F69" s="3"/>
      <c r="G69" s="43"/>
      <c r="H69" s="44"/>
    </row>
    <row r="70" spans="1:8" ht="36" customHeight="1" x14ac:dyDescent="0.6">
      <c r="A70" s="2" t="s">
        <v>77</v>
      </c>
      <c r="B70" s="2"/>
      <c r="C70" s="2"/>
      <c r="D70" s="2"/>
      <c r="E70" s="2"/>
      <c r="F70" s="2"/>
      <c r="G70" s="2"/>
      <c r="H70" s="2"/>
    </row>
    <row r="71" spans="1:8" ht="36" customHeight="1" x14ac:dyDescent="0.6">
      <c r="A71" s="1" t="s">
        <v>78</v>
      </c>
      <c r="B71" s="1"/>
      <c r="C71" s="1"/>
      <c r="D71" s="1"/>
      <c r="E71" s="1"/>
      <c r="F71" s="1"/>
      <c r="G71" s="1"/>
      <c r="H71" s="1"/>
    </row>
  </sheetData>
  <mergeCells count="23">
    <mergeCell ref="A69:F69"/>
    <mergeCell ref="A70:H70"/>
    <mergeCell ref="A71:H71"/>
    <mergeCell ref="A54:F54"/>
    <mergeCell ref="A55:H55"/>
    <mergeCell ref="A59:A61"/>
    <mergeCell ref="B62:F62"/>
    <mergeCell ref="A64:F64"/>
    <mergeCell ref="D41:F41"/>
    <mergeCell ref="D42:F42"/>
    <mergeCell ref="D43:F43"/>
    <mergeCell ref="B46:F46"/>
    <mergeCell ref="A51:A53"/>
    <mergeCell ref="B25:F25"/>
    <mergeCell ref="D31:F31"/>
    <mergeCell ref="D32:F32"/>
    <mergeCell ref="D33:F33"/>
    <mergeCell ref="B36:F36"/>
    <mergeCell ref="A1:H1"/>
    <mergeCell ref="A7:H7"/>
    <mergeCell ref="D20:F20"/>
    <mergeCell ref="D21:F21"/>
    <mergeCell ref="D22:F22"/>
  </mergeCells>
  <conditionalFormatting sqref="G25:G26 G36:G37 G46">
    <cfRule type="cellIs" dxfId="0" priority="2" operator="lessThan">
      <formula>0</formula>
    </cfRule>
  </conditionalFormatting>
  <pageMargins left="0.7" right="0.7" top="0.75" bottom="0.75" header="0.511811023622047" footer="0.511811023622047"/>
  <pageSetup fitToHeight="0"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Suarez (Student)</cp:lastModifiedBy>
  <cp:revision>0</cp:revision>
  <dcterms:created xsi:type="dcterms:W3CDTF">2026-10-31T05:18:33Z</dcterms:created>
  <dcterms:modified xsi:type="dcterms:W3CDTF">2026-10-31T05:19:46Z</dcterms:modified>
  <dc:language>en-US</dc:language>
</cp:coreProperties>
</file>