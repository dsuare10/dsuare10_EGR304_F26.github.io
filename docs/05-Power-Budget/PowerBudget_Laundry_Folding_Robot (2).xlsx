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wer Budget" sheetId="1" state="visible" r:id="rId3"/>
  </sheets>
  <definedNames>
    <definedName function="false" hidden="false" localSheetId="0" name="_xlnm.Print_Area" vbProcedure="false">'Power Budget'!$A$1:$H$71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8" authorId="0">
      <text>
        <r>
          <rPr>
            <sz val="10"/>
            <rFont val="Arial"/>
            <family val="2"/>
          </rPr>
          <t xml:space="preserve"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<sst xmlns="http://schemas.openxmlformats.org/spreadsheetml/2006/main" count="189" uniqueCount="81">
  <si>
    <t xml:space="preserve">Power Budget</t>
  </si>
  <si>
    <t xml:space="preserve">Team Number:</t>
  </si>
  <si>
    <t xml:space="preserve">###</t>
  </si>
  <si>
    <t xml:space="preserve">Project Name:</t>
  </si>
  <si>
    <t xml:space="preserve">Automated Laundry Folding Robot</t>
  </si>
  <si>
    <t xml:space="preserve">Team Member Names:</t>
  </si>
  <si>
    <t xml:space="preserve">Tom, Sam, John, Jane</t>
  </si>
  <si>
    <t xml:space="preserve">Version:</t>
  </si>
  <si>
    <t xml:space="preserve">##</t>
  </si>
  <si>
    <t xml:space="preserve">A. List ALL major components (active devices, integrated circuits, etc.) except for power sources, voltage regulators, resistors, capacitors, or passive elements</t>
  </si>
  <si>
    <t xml:space="preserve">All Major Components</t>
  </si>
  <si>
    <t xml:space="preserve">Component Name</t>
  </si>
  <si>
    <t xml:space="preserve">Part Number</t>
  </si>
  <si>
    <t xml:space="preserve">Supply Voltage Range</t>
  </si>
  <si>
    <t xml:space="preserve">Qty.</t>
  </si>
  <si>
    <t xml:space="preserve">Absolute Maximum Current (mA)</t>
  </si>
  <si>
    <t xml:space="preserve">Total Current (mA)</t>
  </si>
  <si>
    <t xml:space="preserve">Unit</t>
  </si>
  <si>
    <t xml:space="preserve">DC Gearmotor</t>
  </si>
  <si>
    <t xml:space="preserve">FIT0186</t>
  </si>
  <si>
    <t xml:space="preserve">12 V</t>
  </si>
  <si>
    <t xml:space="preserve">mA</t>
  </si>
  <si>
    <t xml:space="preserve">H-Bridge Motor Driver</t>
  </si>
  <si>
    <t xml:space="preserve">DRV8876PWPR</t>
  </si>
  <si>
    <t xml:space="preserve">4.5-37 V</t>
  </si>
  <si>
    <t xml:space="preserve">PIC18F57Q43 Curiosity Nano</t>
  </si>
  <si>
    <t xml:space="preserve">DM164150</t>
  </si>
  <si>
    <t xml:space="preserve">1.8-5.5 V</t>
  </si>
  <si>
    <t xml:space="preserve">Quad Op-Amp</t>
  </si>
  <si>
    <t xml:space="preserve">MCP6004-I/P</t>
  </si>
  <si>
    <t xml:space="preserve">1.8-6 V</t>
  </si>
  <si>
    <t xml:space="preserve">Reflective IR Sensor</t>
  </si>
  <si>
    <t xml:space="preserve">OPB732</t>
  </si>
  <si>
    <t xml:space="preserve">5 V emitter circuit</t>
  </si>
  <si>
    <t xml:space="preserve">Motor Hall Encoder</t>
  </si>
  <si>
    <t xml:space="preserve">Integrated in FIT0186</t>
  </si>
  <si>
    <t xml:space="preserve">5 V</t>
  </si>
  <si>
    <t xml:space="preserve">+12V Power Rail</t>
  </si>
  <si>
    <t xml:space="preserve">Subtotal </t>
  </si>
  <si>
    <t xml:space="preserve">Safety Margin</t>
  </si>
  <si>
    <t xml:space="preserve">Total Current Required on +12V Rail</t>
  </si>
  <si>
    <t xml:space="preserve">Source</t>
  </si>
  <si>
    <t xml:space="preserve">12 V Wall Supply</t>
  </si>
  <si>
    <t xml:space="preserve">GST60A12-P1J</t>
  </si>
  <si>
    <t xml:space="preserve">12 V regulated output</t>
  </si>
  <si>
    <t xml:space="preserve">Total Remaining Current Available on +12V Rail</t>
  </si>
  <si>
    <t xml:space="preserve">+5V Power Rail</t>
  </si>
  <si>
    <t xml:space="preserve">Reflective IR Sensor + IR LED</t>
  </si>
  <si>
    <t xml:space="preserve">Total Current Required on +5V Rail</t>
  </si>
  <si>
    <t xml:space="preserve">Regulator</t>
  </si>
  <si>
    <t xml:space="preserve">+5V Linear Regulator</t>
  </si>
  <si>
    <t xml:space="preserve">L7805CV</t>
  </si>
  <si>
    <t xml:space="preserve">7-35 V input</t>
  </si>
  <si>
    <t xml:space="preserve">Total Remaining Current Available on +5V Rail</t>
  </si>
  <si>
    <t xml:space="preserve">Unused Power Rail</t>
  </si>
  <si>
    <t xml:space="preserve">Total Current Required on Unused Rail</t>
  </si>
  <si>
    <t xml:space="preserve">None</t>
  </si>
  <si>
    <t xml:space="preserve">N/A</t>
  </si>
  <si>
    <t xml:space="preserve">Total Remaining Current Available on Unused Rail</t>
  </si>
  <si>
    <t xml:space="preserve">External Power Source 1</t>
  </si>
  <si>
    <t xml:space="preserve">Output Voltage</t>
  </si>
  <si>
    <t xml:space="preserve">Power Source 1 Selection</t>
  </si>
  <si>
    <t xml:space="preserve">100-240 VAC</t>
  </si>
  <si>
    <t xml:space="preserve">Power Rails Connected to External Power Source 1</t>
  </si>
  <si>
    <t xml:space="preserve">+12V Motor Rail</t>
  </si>
  <si>
    <t xml:space="preserve">Direct from 12 V supply</t>
  </si>
  <si>
    <t xml:space="preserve">Unused Rail</t>
  </si>
  <si>
    <t xml:space="preserve">Total Remaining Current Available on External Power Source 1</t>
  </si>
  <si>
    <t xml:space="preserve">External Power Source 2 (Not Used)</t>
  </si>
  <si>
    <t xml:space="preserve">Power Source 2 Selection</t>
  </si>
  <si>
    <t xml:space="preserve">Power Rails Connected to External Power Source 2</t>
  </si>
  <si>
    <t xml:space="preserve">Total Remaining Current Available on External Power Source 2</t>
  </si>
  <si>
    <t xml:space="preserve">Calculated Battery Life (Not Applicable)</t>
  </si>
  <si>
    <t xml:space="preserve">Capacity (mAh)</t>
  </si>
  <si>
    <t xml:space="preserve">Required By Regulators</t>
  </si>
  <si>
    <t xml:space="preserve">No Battery Used</t>
  </si>
  <si>
    <t xml:space="preserve">Battery Life</t>
  </si>
  <si>
    <t xml:space="preserve">hours</t>
  </si>
  <si>
    <t xml:space="preserve">Notes:</t>
  </si>
  <si>
    <t xml:space="preserve">External Supply Voltage should be determined by the dropout voltage for highest-voltage regulator (e.g., +14V for a +12V regulator).</t>
  </si>
  <si>
    <t xml:space="preserve">If you have multiple units in your design (e.g., a base unit and remote unit) then you need a separate power budget for each unit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</si>
</sst>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@"/>
    <numFmt numFmtId="167" formatCode="0%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"/>
    </font>
    <font>
      <b val="true"/>
      <sz val="24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2"/>
      <name val="Calibri"/>
      <family val="0"/>
      <charset val="1"/>
    </font>
    <font>
      <b val="true"/>
      <i val="true"/>
      <sz val="12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0.5999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FFFFFF"/>
      </patternFill>
    </fill>
    <fill>
      <patternFill patternType="solid">
        <fgColor rgb="FFFFFFFF"/>
        <bgColor rgb="FFEEECE1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0" borderId="0" xfId="2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2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0" borderId="1" xfId="2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0" borderId="1" xfId="2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2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7" xfId="2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3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2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5" borderId="11" xfId="2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">
    <dxf>
      <font>
        <color rgb="FF000000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59EDD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4.36328125" defaultRowHeight="15.75" zeroHeight="false" outlineLevelRow="0" outlineLevelCol="0"/>
  <cols>
    <col collapsed="false" customWidth="true" hidden="false" outlineLevel="0" max="1" min="1" style="1" width="28.34"/>
    <col collapsed="false" customWidth="true" hidden="false" outlineLevel="0" max="2" min="2" style="1" width="37.06"/>
    <col collapsed="false" customWidth="true" hidden="false" outlineLevel="0" max="3" min="3" style="1" width="28.34"/>
    <col collapsed="false" customWidth="true" hidden="false" outlineLevel="0" max="4" min="4" style="1" width="26.16"/>
    <col collapsed="false" customWidth="true" hidden="false" outlineLevel="0" max="5" min="5" style="1" width="13.08"/>
    <col collapsed="false" customWidth="true" hidden="false" outlineLevel="0" max="6" min="6" style="2" width="19.62"/>
    <col collapsed="false" customWidth="true" hidden="false" outlineLevel="0" max="7" min="7" style="2" width="15.26"/>
    <col collapsed="false" customWidth="true" hidden="false" outlineLevel="0" max="8" min="8" style="2" width="8.72"/>
    <col collapsed="false" customWidth="false" hidden="false" outlineLevel="0" max="16384" min="9" style="1" width="4.36"/>
  </cols>
  <sheetData>
    <row r="1" customFormat="false" ht="36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9.5" hidden="false" customHeight="true" outlineLevel="0" collapsed="false">
      <c r="A2" s="4" t="s">
        <v>1</v>
      </c>
      <c r="B2" s="5" t="s">
        <v>2</v>
      </c>
      <c r="C2" s="6"/>
      <c r="D2" s="7"/>
      <c r="E2" s="7"/>
      <c r="F2" s="6"/>
      <c r="G2" s="6"/>
      <c r="H2" s="6"/>
    </row>
    <row r="3" customFormat="false" ht="19.5" hidden="false" customHeight="true" outlineLevel="0" collapsed="false">
      <c r="A3" s="4" t="s">
        <v>3</v>
      </c>
      <c r="B3" s="8" t="s">
        <v>4</v>
      </c>
      <c r="C3" s="9"/>
      <c r="D3" s="7"/>
      <c r="E3" s="7"/>
      <c r="F3" s="7"/>
      <c r="G3" s="7"/>
      <c r="H3" s="7"/>
    </row>
    <row r="4" customFormat="false" ht="19.5" hidden="false" customHeight="true" outlineLevel="0" collapsed="false">
      <c r="A4" s="4" t="s">
        <v>5</v>
      </c>
      <c r="B4" s="8" t="s">
        <v>6</v>
      </c>
      <c r="C4" s="9"/>
      <c r="D4" s="7"/>
      <c r="E4" s="7"/>
      <c r="F4" s="7"/>
      <c r="G4" s="7"/>
      <c r="H4" s="7"/>
    </row>
    <row r="5" customFormat="false" ht="19.5" hidden="false" customHeight="true" outlineLevel="0" collapsed="false">
      <c r="A5" s="4" t="s">
        <v>7</v>
      </c>
      <c r="B5" s="8" t="s">
        <v>8</v>
      </c>
      <c r="C5" s="9"/>
      <c r="D5" s="7"/>
      <c r="E5" s="7"/>
      <c r="F5" s="7"/>
      <c r="G5" s="7"/>
      <c r="H5" s="7"/>
    </row>
    <row r="6" customFormat="false" ht="13.5" hidden="false" customHeight="true" outlineLevel="0" collapsed="false">
      <c r="A6" s="9"/>
      <c r="B6" s="9"/>
      <c r="C6" s="9"/>
      <c r="D6" s="7"/>
      <c r="E6" s="7"/>
      <c r="F6" s="7"/>
      <c r="G6" s="7"/>
      <c r="H6" s="7"/>
    </row>
    <row r="7" customFormat="false" ht="39.75" hidden="true" customHeight="true" outlineLevel="0" collapsed="false">
      <c r="A7" s="10" t="s">
        <v>9</v>
      </c>
      <c r="B7" s="10"/>
      <c r="C7" s="10"/>
      <c r="D7" s="10"/>
      <c r="E7" s="10"/>
      <c r="F7" s="10"/>
      <c r="G7" s="10"/>
      <c r="H7" s="10"/>
    </row>
    <row r="8" customFormat="false" ht="39.75" hidden="false" customHeight="true" outlineLevel="0" collapsed="false">
      <c r="A8" s="11" t="s">
        <v>10</v>
      </c>
      <c r="B8" s="11" t="s">
        <v>11</v>
      </c>
      <c r="C8" s="11" t="s">
        <v>12</v>
      </c>
      <c r="D8" s="11" t="s">
        <v>13</v>
      </c>
      <c r="E8" s="11" t="s">
        <v>14</v>
      </c>
      <c r="F8" s="11" t="s">
        <v>15</v>
      </c>
      <c r="G8" s="11" t="s">
        <v>16</v>
      </c>
      <c r="H8" s="11" t="s">
        <v>17</v>
      </c>
    </row>
    <row r="9" customFormat="false" ht="21.75" hidden="false" customHeight="true" outlineLevel="0" collapsed="false">
      <c r="A9" s="12"/>
      <c r="B9" s="13" t="s">
        <v>18</v>
      </c>
      <c r="C9" s="13" t="s">
        <v>19</v>
      </c>
      <c r="D9" s="14" t="s">
        <v>20</v>
      </c>
      <c r="E9" s="14" t="n">
        <v>1</v>
      </c>
      <c r="F9" s="15" t="n">
        <v>7000</v>
      </c>
      <c r="G9" s="15" t="n">
        <f aca="false">E9*F9</f>
        <v>7000</v>
      </c>
      <c r="H9" s="14" t="s">
        <v>21</v>
      </c>
    </row>
    <row r="10" customFormat="false" ht="21.75" hidden="false" customHeight="true" outlineLevel="0" collapsed="false">
      <c r="A10" s="12"/>
      <c r="B10" s="13" t="s">
        <v>22</v>
      </c>
      <c r="C10" s="13" t="s">
        <v>23</v>
      </c>
      <c r="D10" s="14" t="s">
        <v>24</v>
      </c>
      <c r="E10" s="14" t="n">
        <v>1</v>
      </c>
      <c r="F10" s="15" t="n">
        <v>7</v>
      </c>
      <c r="G10" s="15" t="n">
        <f aca="false">E10*F10</f>
        <v>7</v>
      </c>
      <c r="H10" s="14" t="s">
        <v>21</v>
      </c>
    </row>
    <row r="11" customFormat="false" ht="21.75" hidden="false" customHeight="true" outlineLevel="0" collapsed="false">
      <c r="A11" s="12"/>
      <c r="B11" s="13" t="s">
        <v>25</v>
      </c>
      <c r="C11" s="13" t="s">
        <v>26</v>
      </c>
      <c r="D11" s="14" t="s">
        <v>27</v>
      </c>
      <c r="E11" s="14" t="n">
        <v>1</v>
      </c>
      <c r="F11" s="15" t="n">
        <v>100</v>
      </c>
      <c r="G11" s="15" t="n">
        <f aca="false">E11*F11</f>
        <v>100</v>
      </c>
      <c r="H11" s="14" t="s">
        <v>21</v>
      </c>
    </row>
    <row r="12" customFormat="false" ht="21.75" hidden="false" customHeight="true" outlineLevel="0" collapsed="false">
      <c r="A12" s="12"/>
      <c r="B12" s="13" t="s">
        <v>28</v>
      </c>
      <c r="C12" s="13" t="s">
        <v>29</v>
      </c>
      <c r="D12" s="16" t="s">
        <v>30</v>
      </c>
      <c r="E12" s="14" t="n">
        <v>1</v>
      </c>
      <c r="F12" s="15" t="n">
        <v>0.68</v>
      </c>
      <c r="G12" s="15" t="n">
        <f aca="false">E12*F12</f>
        <v>0.68</v>
      </c>
      <c r="H12" s="14" t="s">
        <v>21</v>
      </c>
    </row>
    <row r="13" customFormat="false" ht="21.75" hidden="false" customHeight="true" outlineLevel="0" collapsed="false">
      <c r="A13" s="12"/>
      <c r="B13" s="13" t="s">
        <v>31</v>
      </c>
      <c r="C13" s="13" t="s">
        <v>32</v>
      </c>
      <c r="D13" s="14" t="s">
        <v>33</v>
      </c>
      <c r="E13" s="14" t="n">
        <v>1</v>
      </c>
      <c r="F13" s="15" t="n">
        <v>50</v>
      </c>
      <c r="G13" s="15" t="n">
        <f aca="false">E13*F13</f>
        <v>50</v>
      </c>
      <c r="H13" s="14" t="s">
        <v>21</v>
      </c>
    </row>
    <row r="14" customFormat="false" ht="21.75" hidden="false" customHeight="true" outlineLevel="0" collapsed="false">
      <c r="A14" s="12"/>
      <c r="B14" s="13" t="s">
        <v>34</v>
      </c>
      <c r="C14" s="13" t="s">
        <v>35</v>
      </c>
      <c r="D14" s="14" t="s">
        <v>36</v>
      </c>
      <c r="E14" s="14" t="n">
        <v>1</v>
      </c>
      <c r="F14" s="15" t="n">
        <v>20</v>
      </c>
      <c r="G14" s="15" t="n">
        <f aca="false">E14*F14</f>
        <v>20</v>
      </c>
      <c r="H14" s="14" t="s">
        <v>21</v>
      </c>
    </row>
    <row r="15" customFormat="false" ht="13.5" hidden="false" customHeight="true" outlineLevel="0" collapsed="false">
      <c r="A15" s="9"/>
      <c r="B15" s="9"/>
      <c r="C15" s="9"/>
      <c r="D15" s="7"/>
      <c r="E15" s="7"/>
      <c r="F15" s="7"/>
      <c r="G15" s="7"/>
      <c r="H15" s="7"/>
    </row>
    <row r="16" customFormat="false" ht="39.75" hidden="false" customHeight="true" outlineLevel="0" collapsed="false">
      <c r="A16" s="17" t="s">
        <v>37</v>
      </c>
      <c r="B16" s="11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16</v>
      </c>
      <c r="H16" s="11" t="s">
        <v>17</v>
      </c>
    </row>
    <row r="17" customFormat="false" ht="21.75" hidden="false" customHeight="true" outlineLevel="0" collapsed="false">
      <c r="A17" s="12"/>
      <c r="B17" s="13" t="s">
        <v>18</v>
      </c>
      <c r="C17" s="13" t="s">
        <v>19</v>
      </c>
      <c r="D17" s="14" t="s">
        <v>20</v>
      </c>
      <c r="E17" s="14" t="n">
        <v>1</v>
      </c>
      <c r="F17" s="15" t="n">
        <v>7000</v>
      </c>
      <c r="G17" s="15" t="n">
        <f aca="false">E17*F17</f>
        <v>7000</v>
      </c>
      <c r="H17" s="14" t="s">
        <v>21</v>
      </c>
    </row>
    <row r="18" customFormat="false" ht="21.75" hidden="false" customHeight="true" outlineLevel="0" collapsed="false">
      <c r="A18" s="12"/>
      <c r="B18" s="13" t="s">
        <v>22</v>
      </c>
      <c r="C18" s="13" t="s">
        <v>23</v>
      </c>
      <c r="D18" s="14" t="s">
        <v>24</v>
      </c>
      <c r="E18" s="14" t="n">
        <v>1</v>
      </c>
      <c r="F18" s="15" t="n">
        <v>7</v>
      </c>
      <c r="G18" s="15" t="n">
        <f aca="false">E18*F18</f>
        <v>7</v>
      </c>
      <c r="H18" s="14" t="s">
        <v>21</v>
      </c>
    </row>
    <row r="19" customFormat="false" ht="21.75" hidden="false" customHeight="true" outlineLevel="0" collapsed="false">
      <c r="A19" s="12"/>
      <c r="B19" s="13"/>
      <c r="C19" s="13"/>
      <c r="D19" s="14"/>
      <c r="E19" s="14"/>
      <c r="F19" s="14"/>
      <c r="G19" s="15" t="n">
        <f aca="false">E19*F19</f>
        <v>0</v>
      </c>
      <c r="H19" s="14" t="s">
        <v>21</v>
      </c>
    </row>
    <row r="20" customFormat="false" ht="21.75" hidden="false" customHeight="true" outlineLevel="0" collapsed="false">
      <c r="A20" s="6"/>
      <c r="B20" s="6"/>
      <c r="C20" s="6"/>
      <c r="D20" s="18" t="s">
        <v>38</v>
      </c>
      <c r="E20" s="18"/>
      <c r="F20" s="18"/>
      <c r="G20" s="15" t="n">
        <f aca="false">SUM(G17:G19)</f>
        <v>7007</v>
      </c>
      <c r="H20" s="14" t="s">
        <v>21</v>
      </c>
    </row>
    <row r="21" customFormat="false" ht="21.75" hidden="false" customHeight="true" outlineLevel="0" collapsed="false">
      <c r="A21" s="6"/>
      <c r="B21" s="6"/>
      <c r="C21" s="6"/>
      <c r="D21" s="18" t="s">
        <v>39</v>
      </c>
      <c r="E21" s="18"/>
      <c r="F21" s="18"/>
      <c r="G21" s="19" t="n">
        <v>0.25</v>
      </c>
      <c r="H21" s="19"/>
    </row>
    <row r="22" customFormat="false" ht="21.75" hidden="false" customHeight="true" outlineLevel="0" collapsed="false">
      <c r="A22" s="20"/>
      <c r="B22" s="6"/>
      <c r="C22" s="6"/>
      <c r="D22" s="18" t="s">
        <v>40</v>
      </c>
      <c r="E22" s="18"/>
      <c r="F22" s="18"/>
      <c r="G22" s="15" t="n">
        <f aca="false">G20*(1+G21)</f>
        <v>8758.75</v>
      </c>
      <c r="H22" s="14" t="s">
        <v>21</v>
      </c>
    </row>
    <row r="23" customFormat="false" ht="13.5" hidden="false" customHeight="true" outlineLevel="0" collapsed="false">
      <c r="A23" s="21"/>
      <c r="B23" s="22"/>
      <c r="C23" s="22"/>
      <c r="D23" s="23"/>
      <c r="E23" s="23"/>
      <c r="F23" s="6"/>
      <c r="G23" s="23"/>
      <c r="H23" s="23"/>
    </row>
    <row r="24" customFormat="false" ht="21.75" hidden="false" customHeight="true" outlineLevel="0" collapsed="false">
      <c r="A24" s="24" t="s">
        <v>41</v>
      </c>
      <c r="B24" s="13" t="s">
        <v>42</v>
      </c>
      <c r="C24" s="13" t="s">
        <v>43</v>
      </c>
      <c r="D24" s="14" t="s">
        <v>44</v>
      </c>
      <c r="E24" s="14" t="n">
        <v>1</v>
      </c>
      <c r="F24" s="15" t="n">
        <v>5000</v>
      </c>
      <c r="G24" s="15" t="n">
        <f aca="false">E24*F24</f>
        <v>5000</v>
      </c>
      <c r="H24" s="14" t="s">
        <v>21</v>
      </c>
    </row>
    <row r="25" customFormat="false" ht="21.75" hidden="false" customHeight="true" outlineLevel="0" collapsed="false">
      <c r="A25" s="21"/>
      <c r="B25" s="25" t="s">
        <v>45</v>
      </c>
      <c r="C25" s="25"/>
      <c r="D25" s="25"/>
      <c r="E25" s="25"/>
      <c r="F25" s="25"/>
      <c r="G25" s="15" t="n">
        <f aca="false">G24-G22</f>
        <v>-3758.75</v>
      </c>
      <c r="H25" s="14" t="s">
        <v>21</v>
      </c>
    </row>
    <row r="26" customFormat="false" ht="13.5" hidden="false" customHeight="true" outlineLevel="0" collapsed="false">
      <c r="A26" s="21"/>
      <c r="B26" s="26"/>
      <c r="C26" s="27"/>
      <c r="D26" s="27"/>
      <c r="E26" s="27"/>
      <c r="F26" s="27"/>
      <c r="G26" s="23"/>
      <c r="H26" s="23"/>
    </row>
    <row r="27" customFormat="false" ht="39.75" hidden="false" customHeight="true" outlineLevel="0" collapsed="false">
      <c r="A27" s="17" t="s">
        <v>46</v>
      </c>
      <c r="B27" s="11" t="s">
        <v>11</v>
      </c>
      <c r="C27" s="11" t="s">
        <v>12</v>
      </c>
      <c r="D27" s="11" t="s">
        <v>13</v>
      </c>
      <c r="E27" s="11" t="s">
        <v>14</v>
      </c>
      <c r="F27" s="11" t="s">
        <v>15</v>
      </c>
      <c r="G27" s="11" t="s">
        <v>16</v>
      </c>
      <c r="H27" s="11" t="s">
        <v>17</v>
      </c>
    </row>
    <row r="28" customFormat="false" ht="21.75" hidden="false" customHeight="true" outlineLevel="0" collapsed="false">
      <c r="A28" s="12"/>
      <c r="B28" s="13" t="s">
        <v>25</v>
      </c>
      <c r="C28" s="13" t="s">
        <v>26</v>
      </c>
      <c r="D28" s="14" t="s">
        <v>27</v>
      </c>
      <c r="E28" s="14" t="n">
        <v>1</v>
      </c>
      <c r="F28" s="15" t="n">
        <v>100</v>
      </c>
      <c r="G28" s="15" t="n">
        <f aca="false">E28*F28</f>
        <v>100</v>
      </c>
      <c r="H28" s="14" t="s">
        <v>21</v>
      </c>
    </row>
    <row r="29" customFormat="false" ht="21.75" hidden="false" customHeight="true" outlineLevel="0" collapsed="false">
      <c r="A29" s="12"/>
      <c r="B29" s="13" t="s">
        <v>28</v>
      </c>
      <c r="C29" s="13" t="s">
        <v>29</v>
      </c>
      <c r="D29" s="14" t="s">
        <v>30</v>
      </c>
      <c r="E29" s="14" t="n">
        <v>1</v>
      </c>
      <c r="F29" s="15" t="n">
        <v>0.68</v>
      </c>
      <c r="G29" s="15" t="n">
        <f aca="false">E29*F29</f>
        <v>0.68</v>
      </c>
      <c r="H29" s="14" t="s">
        <v>21</v>
      </c>
    </row>
    <row r="30" customFormat="false" ht="21.75" hidden="false" customHeight="true" outlineLevel="0" collapsed="false">
      <c r="A30" s="12"/>
      <c r="B30" s="13" t="s">
        <v>47</v>
      </c>
      <c r="C30" s="13" t="s">
        <v>32</v>
      </c>
      <c r="D30" s="14" t="s">
        <v>33</v>
      </c>
      <c r="E30" s="14" t="n">
        <v>1</v>
      </c>
      <c r="F30" s="15" t="n">
        <v>50</v>
      </c>
      <c r="G30" s="15" t="n">
        <f aca="false">E30*F30</f>
        <v>50</v>
      </c>
      <c r="H30" s="14" t="s">
        <v>21</v>
      </c>
    </row>
    <row r="31" customFormat="false" ht="21.75" hidden="false" customHeight="true" outlineLevel="0" collapsed="false">
      <c r="A31" s="6"/>
      <c r="B31" s="6"/>
      <c r="C31" s="6"/>
      <c r="D31" s="18" t="s">
        <v>38</v>
      </c>
      <c r="E31" s="18"/>
      <c r="F31" s="18"/>
      <c r="G31" s="15" t="n">
        <f aca="false">SUM(G28:G30)</f>
        <v>150.68</v>
      </c>
      <c r="H31" s="14" t="s">
        <v>21</v>
      </c>
    </row>
    <row r="32" customFormat="false" ht="21.75" hidden="false" customHeight="true" outlineLevel="0" collapsed="false">
      <c r="A32" s="6"/>
      <c r="B32" s="6"/>
      <c r="C32" s="6"/>
      <c r="D32" s="18" t="s">
        <v>39</v>
      </c>
      <c r="E32" s="18"/>
      <c r="F32" s="18"/>
      <c r="G32" s="19" t="n">
        <v>0.25</v>
      </c>
      <c r="H32" s="19"/>
    </row>
    <row r="33" customFormat="false" ht="21.75" hidden="false" customHeight="true" outlineLevel="0" collapsed="false">
      <c r="A33" s="20"/>
      <c r="B33" s="6"/>
      <c r="C33" s="6"/>
      <c r="D33" s="18" t="s">
        <v>48</v>
      </c>
      <c r="E33" s="18"/>
      <c r="F33" s="18"/>
      <c r="G33" s="15" t="n">
        <f aca="false">G31*(1+G32)</f>
        <v>188.35</v>
      </c>
      <c r="H33" s="14" t="s">
        <v>21</v>
      </c>
    </row>
    <row r="34" customFormat="false" ht="13.5" hidden="false" customHeight="true" outlineLevel="0" collapsed="false">
      <c r="A34" s="21"/>
      <c r="B34" s="22"/>
      <c r="C34" s="22"/>
      <c r="D34" s="23"/>
      <c r="E34" s="23"/>
      <c r="F34" s="23"/>
      <c r="G34" s="23"/>
      <c r="H34" s="23"/>
    </row>
    <row r="35" customFormat="false" ht="21.75" hidden="false" customHeight="true" outlineLevel="0" collapsed="false">
      <c r="A35" s="24" t="s">
        <v>49</v>
      </c>
      <c r="B35" s="13" t="s">
        <v>50</v>
      </c>
      <c r="C35" s="13" t="s">
        <v>51</v>
      </c>
      <c r="D35" s="14" t="s">
        <v>52</v>
      </c>
      <c r="E35" s="14" t="n">
        <v>1</v>
      </c>
      <c r="F35" s="15" t="n">
        <v>1500</v>
      </c>
      <c r="G35" s="15" t="n">
        <f aca="false">E35*F35</f>
        <v>1500</v>
      </c>
      <c r="H35" s="14" t="s">
        <v>21</v>
      </c>
    </row>
    <row r="36" customFormat="false" ht="21.75" hidden="false" customHeight="true" outlineLevel="0" collapsed="false">
      <c r="A36" s="21"/>
      <c r="B36" s="25" t="s">
        <v>53</v>
      </c>
      <c r="C36" s="25"/>
      <c r="D36" s="25"/>
      <c r="E36" s="25"/>
      <c r="F36" s="25"/>
      <c r="G36" s="15" t="n">
        <f aca="false">G35-G33</f>
        <v>1311.65</v>
      </c>
      <c r="H36" s="14" t="s">
        <v>21</v>
      </c>
    </row>
    <row r="37" customFormat="false" ht="13.5" hidden="false" customHeight="true" outlineLevel="0" collapsed="false">
      <c r="A37" s="21"/>
      <c r="B37" s="26"/>
      <c r="C37" s="27"/>
      <c r="D37" s="27"/>
      <c r="E37" s="27"/>
      <c r="F37" s="27"/>
      <c r="G37" s="23"/>
      <c r="H37" s="23"/>
    </row>
    <row r="38" customFormat="false" ht="39.75" hidden="false" customHeight="true" outlineLevel="0" collapsed="false">
      <c r="A38" s="17" t="s">
        <v>54</v>
      </c>
      <c r="B38" s="11" t="s">
        <v>11</v>
      </c>
      <c r="C38" s="11" t="s">
        <v>12</v>
      </c>
      <c r="D38" s="11" t="s">
        <v>13</v>
      </c>
      <c r="E38" s="11" t="s">
        <v>14</v>
      </c>
      <c r="F38" s="11" t="s">
        <v>15</v>
      </c>
      <c r="G38" s="11" t="s">
        <v>16</v>
      </c>
      <c r="H38" s="11" t="s">
        <v>17</v>
      </c>
    </row>
    <row r="39" customFormat="false" ht="21.75" hidden="false" customHeight="true" outlineLevel="0" collapsed="false">
      <c r="A39" s="12"/>
      <c r="B39" s="13"/>
      <c r="C39" s="13"/>
      <c r="D39" s="14"/>
      <c r="E39" s="14"/>
      <c r="F39" s="14"/>
      <c r="G39" s="15" t="n">
        <f aca="false">E39*F39</f>
        <v>0</v>
      </c>
      <c r="H39" s="14" t="s">
        <v>21</v>
      </c>
    </row>
    <row r="40" customFormat="false" ht="21.75" hidden="false" customHeight="true" outlineLevel="0" collapsed="false">
      <c r="A40" s="12"/>
      <c r="B40" s="13"/>
      <c r="C40" s="13"/>
      <c r="D40" s="14"/>
      <c r="E40" s="14"/>
      <c r="F40" s="14"/>
      <c r="G40" s="15" t="n">
        <f aca="false">E40*F40</f>
        <v>0</v>
      </c>
      <c r="H40" s="14" t="s">
        <v>21</v>
      </c>
    </row>
    <row r="41" customFormat="false" ht="21.75" hidden="false" customHeight="true" outlineLevel="0" collapsed="false">
      <c r="A41" s="6"/>
      <c r="B41" s="6"/>
      <c r="C41" s="6"/>
      <c r="D41" s="18" t="s">
        <v>38</v>
      </c>
      <c r="E41" s="18"/>
      <c r="F41" s="18"/>
      <c r="G41" s="15" t="n">
        <f aca="false">SUM(G39:G40)</f>
        <v>0</v>
      </c>
      <c r="H41" s="14" t="s">
        <v>21</v>
      </c>
    </row>
    <row r="42" customFormat="false" ht="21.75" hidden="false" customHeight="true" outlineLevel="0" collapsed="false">
      <c r="A42" s="6"/>
      <c r="B42" s="6"/>
      <c r="C42" s="6"/>
      <c r="D42" s="18" t="s">
        <v>39</v>
      </c>
      <c r="E42" s="18"/>
      <c r="F42" s="18"/>
      <c r="G42" s="19" t="n">
        <v>0.25</v>
      </c>
      <c r="H42" s="19"/>
    </row>
    <row r="43" customFormat="false" ht="21.75" hidden="false" customHeight="true" outlineLevel="0" collapsed="false">
      <c r="A43" s="6"/>
      <c r="B43" s="6"/>
      <c r="C43" s="6"/>
      <c r="D43" s="18" t="s">
        <v>55</v>
      </c>
      <c r="E43" s="18"/>
      <c r="F43" s="18"/>
      <c r="G43" s="15" t="n">
        <f aca="false">G41*(1+G42)</f>
        <v>0</v>
      </c>
      <c r="H43" s="14" t="s">
        <v>21</v>
      </c>
    </row>
    <row r="44" customFormat="false" ht="13.5" hidden="false" customHeight="true" outlineLevel="0" collapsed="false">
      <c r="A44" s="21"/>
      <c r="B44" s="6"/>
      <c r="C44" s="6"/>
      <c r="D44" s="23"/>
      <c r="E44" s="23"/>
      <c r="F44" s="6"/>
      <c r="G44" s="23"/>
      <c r="H44" s="7"/>
    </row>
    <row r="45" customFormat="false" ht="21.75" hidden="false" customHeight="true" outlineLevel="0" collapsed="false">
      <c r="A45" s="24" t="s">
        <v>49</v>
      </c>
      <c r="B45" s="13" t="s">
        <v>56</v>
      </c>
      <c r="C45" s="13" t="s">
        <v>57</v>
      </c>
      <c r="D45" s="14" t="s">
        <v>57</v>
      </c>
      <c r="E45" s="14" t="n">
        <v>1</v>
      </c>
      <c r="F45" s="15" t="n">
        <v>0</v>
      </c>
      <c r="G45" s="15" t="n">
        <f aca="false">E45*F45</f>
        <v>0</v>
      </c>
      <c r="H45" s="14" t="s">
        <v>21</v>
      </c>
    </row>
    <row r="46" customFormat="false" ht="21.75" hidden="false" customHeight="true" outlineLevel="0" collapsed="false">
      <c r="A46" s="6"/>
      <c r="B46" s="25" t="s">
        <v>58</v>
      </c>
      <c r="C46" s="25"/>
      <c r="D46" s="25"/>
      <c r="E46" s="25"/>
      <c r="F46" s="25"/>
      <c r="G46" s="15" t="n">
        <f aca="false">G45-G43</f>
        <v>0</v>
      </c>
      <c r="H46" s="14" t="s">
        <v>21</v>
      </c>
    </row>
    <row r="47" customFormat="false" ht="13.5" hidden="false" customHeight="true" outlineLevel="0" collapsed="false">
      <c r="A47" s="28"/>
      <c r="B47" s="28"/>
      <c r="C47" s="28"/>
      <c r="D47" s="28"/>
      <c r="E47" s="28"/>
      <c r="F47" s="29"/>
      <c r="G47" s="30"/>
      <c r="H47" s="30"/>
    </row>
    <row r="48" customFormat="false" ht="39.75" hidden="false" customHeight="true" outlineLevel="0" collapsed="false">
      <c r="A48" s="17" t="s">
        <v>59</v>
      </c>
      <c r="B48" s="11" t="s">
        <v>11</v>
      </c>
      <c r="C48" s="11" t="s">
        <v>12</v>
      </c>
      <c r="D48" s="11" t="s">
        <v>13</v>
      </c>
      <c r="E48" s="11" t="s">
        <v>60</v>
      </c>
      <c r="F48" s="11" t="s">
        <v>15</v>
      </c>
      <c r="G48" s="11" t="s">
        <v>16</v>
      </c>
      <c r="H48" s="11" t="s">
        <v>17</v>
      </c>
    </row>
    <row r="49" customFormat="false" ht="21.75" hidden="false" customHeight="true" outlineLevel="0" collapsed="false">
      <c r="A49" s="31" t="s">
        <v>61</v>
      </c>
      <c r="B49" s="13" t="s">
        <v>42</v>
      </c>
      <c r="C49" s="13" t="s">
        <v>43</v>
      </c>
      <c r="D49" s="14" t="s">
        <v>62</v>
      </c>
      <c r="E49" s="14" t="s">
        <v>20</v>
      </c>
      <c r="F49" s="15" t="n">
        <v>5000</v>
      </c>
      <c r="G49" s="15" t="n">
        <v>5000</v>
      </c>
      <c r="H49" s="14" t="s">
        <v>21</v>
      </c>
    </row>
    <row r="50" customFormat="false" ht="13.5" hidden="false" customHeight="true" outlineLevel="0" collapsed="false">
      <c r="A50" s="7"/>
      <c r="B50" s="22"/>
      <c r="C50" s="22"/>
      <c r="D50" s="23"/>
      <c r="E50" s="23"/>
      <c r="F50" s="23"/>
      <c r="G50" s="23"/>
      <c r="H50" s="23"/>
    </row>
    <row r="51" customFormat="false" ht="21.75" hidden="false" customHeight="true" outlineLevel="0" collapsed="false">
      <c r="A51" s="31" t="s">
        <v>63</v>
      </c>
      <c r="B51" s="13" t="s">
        <v>64</v>
      </c>
      <c r="C51" s="13" t="s">
        <v>65</v>
      </c>
      <c r="D51" s="14" t="s">
        <v>20</v>
      </c>
      <c r="E51" s="14" t="n">
        <v>1</v>
      </c>
      <c r="F51" s="15" t="n">
        <v>7007</v>
      </c>
      <c r="G51" s="15" t="n">
        <f aca="false">E51*F51</f>
        <v>7007</v>
      </c>
      <c r="H51" s="14" t="s">
        <v>21</v>
      </c>
    </row>
    <row r="52" customFormat="false" ht="21.75" hidden="false" customHeight="true" outlineLevel="0" collapsed="false">
      <c r="A52" s="31"/>
      <c r="B52" s="13" t="s">
        <v>50</v>
      </c>
      <c r="C52" s="13" t="s">
        <v>51</v>
      </c>
      <c r="D52" s="14" t="s">
        <v>52</v>
      </c>
      <c r="E52" s="14" t="n">
        <v>1</v>
      </c>
      <c r="F52" s="15" t="n">
        <v>1500</v>
      </c>
      <c r="G52" s="15" t="n">
        <f aca="false">E52*F52</f>
        <v>1500</v>
      </c>
      <c r="H52" s="14" t="s">
        <v>21</v>
      </c>
    </row>
    <row r="53" customFormat="false" ht="21.75" hidden="false" customHeight="true" outlineLevel="0" collapsed="false">
      <c r="A53" s="31"/>
      <c r="B53" s="13" t="s">
        <v>66</v>
      </c>
      <c r="C53" s="13" t="s">
        <v>57</v>
      </c>
      <c r="D53" s="14" t="s">
        <v>57</v>
      </c>
      <c r="E53" s="14" t="n">
        <v>1</v>
      </c>
      <c r="F53" s="15" t="n">
        <v>0</v>
      </c>
      <c r="G53" s="15" t="n">
        <f aca="false">E53*F53</f>
        <v>0</v>
      </c>
      <c r="H53" s="14" t="s">
        <v>21</v>
      </c>
    </row>
    <row r="54" customFormat="false" ht="21.75" hidden="false" customHeight="true" outlineLevel="0" collapsed="false">
      <c r="A54" s="25" t="s">
        <v>67</v>
      </c>
      <c r="B54" s="25"/>
      <c r="C54" s="25"/>
      <c r="D54" s="25"/>
      <c r="E54" s="25"/>
      <c r="F54" s="25"/>
      <c r="G54" s="15" t="n">
        <f aca="false">G49-SUM(G51:G53)</f>
        <v>-3507</v>
      </c>
      <c r="H54" s="14" t="s">
        <v>21</v>
      </c>
    </row>
    <row r="55" customFormat="false" ht="13.5" hidden="false" customHeight="true" outlineLevel="0" collapsed="false">
      <c r="A55" s="7"/>
      <c r="B55" s="7"/>
      <c r="C55" s="7"/>
      <c r="D55" s="7"/>
      <c r="E55" s="7"/>
      <c r="F55" s="7"/>
      <c r="G55" s="7"/>
      <c r="H55" s="7"/>
    </row>
    <row r="56" customFormat="false" ht="39.75" hidden="false" customHeight="true" outlineLevel="0" collapsed="false">
      <c r="A56" s="17" t="s">
        <v>68</v>
      </c>
      <c r="B56" s="11" t="s">
        <v>11</v>
      </c>
      <c r="C56" s="11" t="s">
        <v>12</v>
      </c>
      <c r="D56" s="11" t="s">
        <v>13</v>
      </c>
      <c r="E56" s="11" t="s">
        <v>60</v>
      </c>
      <c r="F56" s="11" t="s">
        <v>15</v>
      </c>
      <c r="G56" s="11" t="s">
        <v>16</v>
      </c>
      <c r="H56" s="11" t="s">
        <v>17</v>
      </c>
    </row>
    <row r="57" customFormat="false" ht="21.75" hidden="false" customHeight="true" outlineLevel="0" collapsed="false">
      <c r="A57" s="31" t="s">
        <v>69</v>
      </c>
      <c r="B57" s="13" t="s">
        <v>56</v>
      </c>
      <c r="C57" s="13" t="s">
        <v>57</v>
      </c>
      <c r="D57" s="14" t="s">
        <v>57</v>
      </c>
      <c r="E57" s="14" t="s">
        <v>57</v>
      </c>
      <c r="F57" s="15" t="n">
        <v>0</v>
      </c>
      <c r="G57" s="15" t="n">
        <v>0</v>
      </c>
      <c r="H57" s="14" t="s">
        <v>21</v>
      </c>
    </row>
    <row r="58" customFormat="false" ht="13.5" hidden="false" customHeight="true" outlineLevel="0" collapsed="false">
      <c r="A58" s="7"/>
      <c r="B58" s="22"/>
      <c r="C58" s="22"/>
      <c r="D58" s="23"/>
      <c r="E58" s="23"/>
      <c r="F58" s="23"/>
      <c r="G58" s="23"/>
      <c r="H58" s="23"/>
    </row>
    <row r="59" customFormat="false" ht="21.75" hidden="false" customHeight="true" outlineLevel="0" collapsed="false">
      <c r="A59" s="31" t="s">
        <v>70</v>
      </c>
      <c r="B59" s="13" t="s">
        <v>56</v>
      </c>
      <c r="C59" s="13" t="s">
        <v>57</v>
      </c>
      <c r="D59" s="14" t="s">
        <v>57</v>
      </c>
      <c r="E59" s="14" t="n">
        <v>1</v>
      </c>
      <c r="F59" s="15" t="n">
        <v>0</v>
      </c>
      <c r="G59" s="15" t="n">
        <f aca="false">E59*F59</f>
        <v>0</v>
      </c>
      <c r="H59" s="14" t="s">
        <v>21</v>
      </c>
    </row>
    <row r="60" customFormat="false" ht="21.75" hidden="false" customHeight="true" outlineLevel="0" collapsed="false">
      <c r="A60" s="31"/>
      <c r="B60" s="13"/>
      <c r="C60" s="13"/>
      <c r="D60" s="14"/>
      <c r="E60" s="14"/>
      <c r="F60" s="14"/>
      <c r="G60" s="14"/>
      <c r="H60" s="14"/>
    </row>
    <row r="61" customFormat="false" ht="21.75" hidden="false" customHeight="true" outlineLevel="0" collapsed="false">
      <c r="A61" s="31"/>
      <c r="B61" s="13"/>
      <c r="C61" s="13"/>
      <c r="D61" s="14"/>
      <c r="E61" s="14"/>
      <c r="F61" s="14"/>
      <c r="G61" s="14"/>
      <c r="H61" s="14"/>
    </row>
    <row r="62" customFormat="false" ht="21.75" hidden="false" customHeight="true" outlineLevel="0" collapsed="false">
      <c r="A62" s="32"/>
      <c r="B62" s="25" t="s">
        <v>71</v>
      </c>
      <c r="C62" s="25"/>
      <c r="D62" s="25"/>
      <c r="E62" s="25"/>
      <c r="F62" s="25"/>
      <c r="G62" s="15" t="n">
        <f aca="false">G57-SUM(G59:G61)</f>
        <v>0</v>
      </c>
      <c r="H62" s="14" t="s">
        <v>21</v>
      </c>
    </row>
    <row r="63" customFormat="false" ht="13.5" hidden="false" customHeight="true" outlineLevel="0" collapsed="false">
      <c r="A63" s="20"/>
      <c r="B63" s="6"/>
      <c r="C63" s="6"/>
      <c r="D63" s="27"/>
      <c r="E63" s="23"/>
      <c r="F63" s="23"/>
      <c r="G63" s="23"/>
      <c r="H63" s="23"/>
    </row>
    <row r="64" customFormat="false" ht="24" hidden="false" customHeight="true" outlineLevel="0" collapsed="false">
      <c r="A64" s="33" t="s">
        <v>72</v>
      </c>
      <c r="B64" s="33"/>
      <c r="C64" s="33"/>
      <c r="D64" s="33"/>
      <c r="E64" s="33"/>
      <c r="F64" s="33"/>
      <c r="G64" s="34"/>
      <c r="H64" s="35"/>
    </row>
    <row r="65" customFormat="false" ht="39.75" hidden="false" customHeight="true" outlineLevel="0" collapsed="false">
      <c r="A65" s="11"/>
      <c r="B65" s="11" t="s">
        <v>11</v>
      </c>
      <c r="C65" s="11" t="s">
        <v>12</v>
      </c>
      <c r="D65" s="11" t="s">
        <v>13</v>
      </c>
      <c r="E65" s="11"/>
      <c r="F65" s="11" t="s">
        <v>73</v>
      </c>
      <c r="G65" s="11" t="s">
        <v>74</v>
      </c>
      <c r="H65" s="11"/>
    </row>
    <row r="66" customFormat="false" ht="21.75" hidden="false" customHeight="true" outlineLevel="0" collapsed="false">
      <c r="A66" s="12"/>
      <c r="B66" s="13" t="s">
        <v>75</v>
      </c>
      <c r="C66" s="13" t="s">
        <v>57</v>
      </c>
      <c r="D66" s="14" t="s">
        <v>57</v>
      </c>
      <c r="E66" s="14"/>
      <c r="F66" s="15" t="n">
        <v>0</v>
      </c>
      <c r="G66" s="15" t="n">
        <f aca="false">SUM(G59:G61)</f>
        <v>0</v>
      </c>
      <c r="H66" s="14"/>
    </row>
    <row r="67" customFormat="false" ht="21.75" hidden="false" customHeight="true" outlineLevel="0" collapsed="false">
      <c r="A67" s="36"/>
      <c r="B67" s="37"/>
      <c r="C67" s="37"/>
      <c r="D67" s="38"/>
      <c r="E67" s="38"/>
      <c r="F67" s="18" t="s">
        <v>76</v>
      </c>
      <c r="G67" s="15" t="n">
        <f aca="false">IF(G66=0,0,F66/G66)</f>
        <v>0</v>
      </c>
      <c r="H67" s="14" t="s">
        <v>77</v>
      </c>
    </row>
    <row r="68" customFormat="false" ht="13.5" hidden="false" customHeight="true" outlineLevel="0" collapsed="false">
      <c r="A68" s="6"/>
      <c r="B68" s="6"/>
      <c r="C68" s="6"/>
      <c r="D68" s="23"/>
      <c r="E68" s="23"/>
      <c r="F68" s="30"/>
      <c r="G68" s="23"/>
      <c r="H68" s="23"/>
    </row>
    <row r="69" customFormat="false" ht="24" hidden="false" customHeight="true" outlineLevel="0" collapsed="false">
      <c r="A69" s="39" t="s">
        <v>78</v>
      </c>
      <c r="B69" s="39"/>
      <c r="C69" s="39"/>
      <c r="D69" s="39"/>
      <c r="E69" s="39"/>
      <c r="F69" s="39"/>
      <c r="G69" s="40"/>
      <c r="H69" s="41"/>
    </row>
    <row r="70" customFormat="false" ht="36" hidden="false" customHeight="true" outlineLevel="0" collapsed="false">
      <c r="A70" s="42" t="s">
        <v>79</v>
      </c>
      <c r="B70" s="42"/>
      <c r="C70" s="42"/>
      <c r="D70" s="42"/>
      <c r="E70" s="42"/>
      <c r="F70" s="42"/>
      <c r="G70" s="42"/>
      <c r="H70" s="42"/>
    </row>
    <row r="71" customFormat="false" ht="36" hidden="false" customHeight="true" outlineLevel="0" collapsed="false">
      <c r="A71" s="43" t="s">
        <v>80</v>
      </c>
      <c r="B71" s="43"/>
      <c r="C71" s="43"/>
      <c r="D71" s="43"/>
      <c r="E71" s="43"/>
      <c r="F71" s="43"/>
      <c r="G71" s="43"/>
      <c r="H71" s="43"/>
    </row>
  </sheetData>
  <mergeCells count="22">
    <mergeCell ref="A1:H1"/>
    <mergeCell ref="A7:H7"/>
    <mergeCell ref="D20:F20"/>
    <mergeCell ref="D21:F21"/>
    <mergeCell ref="D22:F22"/>
    <mergeCell ref="B25:F25"/>
    <mergeCell ref="D31:F31"/>
    <mergeCell ref="D32:F32"/>
    <mergeCell ref="D33:F33"/>
    <mergeCell ref="B36:F36"/>
    <mergeCell ref="D41:F41"/>
    <mergeCell ref="D42:F42"/>
    <mergeCell ref="D43:F43"/>
    <mergeCell ref="B46:F46"/>
    <mergeCell ref="A51:A53"/>
    <mergeCell ref="A54:F54"/>
    <mergeCell ref="A59:A61"/>
    <mergeCell ref="B62:F62"/>
    <mergeCell ref="A64:F64"/>
    <mergeCell ref="A69:F69"/>
    <mergeCell ref="A70:H70"/>
    <mergeCell ref="A71:H71"/>
  </mergeCells>
  <conditionalFormatting sqref="G25:G26 G36:G37 G46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63" man="true" max="16383" min="0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2026-10-26T18:34:49Z</dcterms:created>
  <dc:creator>openpyxl</dc:creator>
  <dc:description/>
  <dc:language>en-US</dc:language>
  <cp:lastModifiedBy/>
  <dcterms:modified xsi:type="dcterms:W3CDTF">2026-10-26T18:34:50Z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